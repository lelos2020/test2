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USER_GUIDE" sheetId="1" state="visible" r:id="rId1"/>
    <sheet xmlns:r="http://schemas.openxmlformats.org/officeDocument/2006/relationships" name="1_EXECUTIVE_SUMMARY" sheetId="2" state="visible" r:id="rId2"/>
    <sheet xmlns:r="http://schemas.openxmlformats.org/officeDocument/2006/relationships" name="2_TERMS_OF_ENGAGEMENT" sheetId="3" state="visible" r:id="rId3"/>
    <sheet xmlns:r="http://schemas.openxmlformats.org/officeDocument/2006/relationships" name="3_PROPERTY_DESCRIPTION" sheetId="4" state="visible" r:id="rId4"/>
    <sheet xmlns:r="http://schemas.openxmlformats.org/officeDocument/2006/relationships" name="4_MARKET_RESEARCH" sheetId="5" state="visible" r:id="rId5"/>
    <sheet xmlns:r="http://schemas.openxmlformats.org/officeDocument/2006/relationships" name="6_COMPARATIVE_METHOD" sheetId="6" state="visible" r:id="rId6"/>
    <sheet xmlns:r="http://schemas.openxmlformats.org/officeDocument/2006/relationships" name="5_COMPARABLES_DATABASE" sheetId="7" state="visible" r:id="rId7"/>
    <sheet xmlns:r="http://schemas.openxmlformats.org/officeDocument/2006/relationships" name="7_INCOME_METHOD_DCF" sheetId="8" state="visible" r:id="rId8"/>
    <sheet xmlns:r="http://schemas.openxmlformats.org/officeDocument/2006/relationships" name="8_METHOD_RECONCILIATION" sheetId="9" state="visible" r:id="rId9"/>
    <sheet xmlns:r="http://schemas.openxmlformats.org/officeDocument/2006/relationships" name="9_SWOT_ANALYSIS" sheetId="10" state="visible" r:id="rId10"/>
    <sheet xmlns:r="http://schemas.openxmlformats.org/officeDocument/2006/relationships" name="10_ASSUMPTIONS_REGISTER" sheetId="11" state="visible" r:id="rId11"/>
    <sheet xmlns:r="http://schemas.openxmlformats.org/officeDocument/2006/relationships" name="11_FINAL_REPO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DD/MM/YYYY"/>
    <numFmt numFmtId="165" formatCode="#,##0 &quot;€&quot;"/>
    <numFmt numFmtId="166" formatCode="#,##0.00 &quot;m²&quot;"/>
    <numFmt numFmtId="167" formatCode="0 &quot;days&quot;"/>
    <numFmt numFmtId="168" formatCode="0.0%"/>
    <numFmt numFmtId="169" formatCode="#,##0 &quot;€/m²&quot;"/>
    <numFmt numFmtId="170" formatCode="#,##0.00 &quot;€/m²/month&quot;"/>
    <numFmt numFmtId="171" formatCode="0.0"/>
    <numFmt numFmtId="172" formatCode="0.00 &quot;m²&quot;"/>
    <numFmt numFmtId="173" formatCode="#,##0 &quot;€/year&quot;"/>
    <numFmt numFmtId="174" formatCode="0.0000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1"/>
    </font>
    <font>
      <b val="1"/>
      <color rgb="00C00000"/>
      <sz val="13"/>
    </font>
    <font>
      <b val="1"/>
      <sz val="13"/>
    </font>
    <font>
      <b val="1"/>
      <sz val="10"/>
    </font>
    <font>
      <b val="1"/>
      <color rgb="00FFFFFF"/>
      <sz val="11"/>
    </font>
    <font>
      <sz val="10"/>
    </font>
    <font>
      <b val="1"/>
    </font>
    <font>
      <b val="1"/>
      <color rgb="00C00000"/>
      <sz val="11"/>
    </font>
    <font>
      <i val="1"/>
      <sz val="9"/>
    </font>
    <font>
      <sz val="9"/>
    </font>
    <font>
      <b val="1"/>
      <sz val="9"/>
    </font>
    <font>
      <i val="1"/>
      <sz val="10"/>
    </font>
    <font>
      <i val="1"/>
      <sz val="8"/>
    </font>
    <font>
      <b val="1"/>
      <sz val="12"/>
    </font>
    <font>
      <b val="1"/>
      <color rgb="00C00000"/>
      <sz val="12"/>
    </font>
    <font>
      <b val="1"/>
      <color rgb="00C00000"/>
      <sz val="14"/>
    </font>
    <font>
      <i val="1"/>
      <color rgb="00C00000"/>
      <sz val="10"/>
    </font>
    <font>
      <b val="1"/>
      <color rgb="00C00000"/>
    </font>
    <font>
      <b val="1"/>
      <color rgb="00C00000"/>
      <sz val="16"/>
    </font>
    <font>
      <b val="1"/>
      <color rgb="001F4E78"/>
      <sz val="11"/>
    </font>
    <font>
      <i val="1"/>
    </font>
    <font>
      <b val="1"/>
      <color rgb="00C00000"/>
      <sz val="10"/>
    </font>
    <font>
      <name val="Calibri"/>
      <b val="1"/>
      <color rgb="00FFFFFF"/>
      <sz val="16"/>
    </font>
    <font>
      <b val="1"/>
      <i val="1"/>
      <sz val="11"/>
    </font>
    <font>
      <name val="Consolas"/>
      <sz val="9"/>
    </font>
    <font>
      <b val="1"/>
      <i val="1"/>
      <color rgb="00C00000"/>
      <sz val="9"/>
    </font>
    <font>
      <i val="1"/>
      <color rgb="001F4E78"/>
      <sz val="9"/>
    </font>
    <font>
      <sz val="8"/>
    </font>
  </fonts>
  <fills count="10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5" borderId="2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6" borderId="0" pivotButton="0" quotePrefix="0" xfId="0"/>
    <xf numFmtId="166" fontId="0" fillId="3" borderId="1" pivotButton="0" quotePrefix="0" xfId="0"/>
    <xf numFmtId="2" fontId="0" fillId="3" borderId="1" pivotButton="0" quotePrefix="0" xfId="0"/>
    <xf numFmtId="166" fontId="0" fillId="4" borderId="1" pivotButton="0" quotePrefix="0" xfId="0"/>
    <xf numFmtId="0" fontId="8" fillId="7" borderId="1" applyAlignment="1" pivotButton="0" quotePrefix="0" xfId="0">
      <alignment horizontal="center"/>
    </xf>
    <xf numFmtId="4" fontId="0" fillId="3" borderId="1" pivotButton="0" quotePrefix="0" xfId="0"/>
    <xf numFmtId="2" fontId="0" fillId="0" borderId="0" pivotButton="0" quotePrefix="0" xfId="0"/>
    <xf numFmtId="4" fontId="0" fillId="4" borderId="1" pivotButton="0" quotePrefix="0" xfId="0"/>
    <xf numFmtId="0" fontId="9" fillId="0" borderId="0" pivotButton="0" quotePrefix="0" xfId="0"/>
    <xf numFmtId="166" fontId="2" fillId="5" borderId="2" pivotButton="0" quotePrefix="0" xfId="0"/>
    <xf numFmtId="0" fontId="10" fillId="0" borderId="0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170" fontId="0" fillId="3" borderId="1" pivotButton="0" quotePrefix="0" xfId="0"/>
    <xf numFmtId="0" fontId="11" fillId="0" borderId="0" pivotButton="0" quotePrefix="0" xfId="0"/>
    <xf numFmtId="0" fontId="12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5" fontId="0" fillId="3" borderId="1" pivotButton="0" quotePrefix="0" xfId="0"/>
    <xf numFmtId="171" fontId="0" fillId="3" borderId="1" pivotButton="0" quotePrefix="0" xfId="0"/>
    <xf numFmtId="172" fontId="0" fillId="4" borderId="1" pivotButton="0" quotePrefix="0" xfId="0"/>
    <xf numFmtId="169" fontId="0" fillId="4" borderId="1" pivotButton="0" quotePrefix="0" xfId="0"/>
    <xf numFmtId="0" fontId="8" fillId="0" borderId="0" pivotButton="0" quotePrefix="0" xfId="0"/>
    <xf numFmtId="0" fontId="13" fillId="0" borderId="0" pivotButton="0" quotePrefix="0" xfId="0"/>
    <xf numFmtId="0" fontId="8" fillId="7" borderId="0" applyAlignment="1" pivotButton="0" quotePrefix="0" xfId="0">
      <alignment horizontal="center"/>
    </xf>
    <xf numFmtId="0" fontId="14" fillId="0" borderId="0" pivotButton="0" quotePrefix="0" xfId="0"/>
    <xf numFmtId="168" fontId="8" fillId="4" borderId="1" pivotButton="0" quotePrefix="0" xfId="0"/>
    <xf numFmtId="169" fontId="8" fillId="4" borderId="1" pivotButton="0" quotePrefix="0" xfId="0"/>
    <xf numFmtId="168" fontId="0" fillId="4" borderId="1" pivotButton="0" quotePrefix="0" xfId="0"/>
    <xf numFmtId="169" fontId="15" fillId="5" borderId="2" pivotButton="0" quotePrefix="0" xfId="0"/>
    <xf numFmtId="0" fontId="16" fillId="0" borderId="0" pivotButton="0" quotePrefix="0" xfId="0"/>
    <xf numFmtId="165" fontId="17" fillId="5" borderId="2" pivotButton="0" quotePrefix="0" xfId="0"/>
    <xf numFmtId="173" fontId="0" fillId="4" borderId="1" pivotButton="0" quotePrefix="0" xfId="0"/>
    <xf numFmtId="165" fontId="0" fillId="4" borderId="1" pivotButton="0" quotePrefix="0" xfId="0"/>
    <xf numFmtId="165" fontId="8" fillId="4" borderId="1" pivotButton="0" quotePrefix="0" xfId="0"/>
    <xf numFmtId="173" fontId="2" fillId="5" borderId="0" pivotButton="0" quotePrefix="0" xfId="0"/>
    <xf numFmtId="10" fontId="0" fillId="3" borderId="1" pivotButton="0" quotePrefix="0" xfId="0"/>
    <xf numFmtId="165" fontId="3" fillId="5" borderId="2" pivotButton="0" quotePrefix="0" xfId="0"/>
    <xf numFmtId="0" fontId="12" fillId="7" borderId="0" applyAlignment="1" pivotButton="0" quotePrefix="0" xfId="0">
      <alignment horizontal="center"/>
    </xf>
    <xf numFmtId="3" fontId="0" fillId="4" borderId="1" pivotButton="0" quotePrefix="0" xfId="0"/>
    <xf numFmtId="174" fontId="0" fillId="4" borderId="1" pivotButton="0" quotePrefix="0" xfId="0"/>
    <xf numFmtId="0" fontId="18" fillId="0" borderId="0" pivotButton="0" quotePrefix="0" xfId="0"/>
    <xf numFmtId="9" fontId="0" fillId="3" borderId="1" pivotButton="0" quotePrefix="0" xfId="0"/>
    <xf numFmtId="9" fontId="19" fillId="4" borderId="1" pivotButton="0" quotePrefix="0" xfId="0"/>
    <xf numFmtId="165" fontId="20" fillId="5" borderId="2" pivotButton="0" quotePrefix="0" xfId="0"/>
    <xf numFmtId="165" fontId="15" fillId="4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21" fillId="0" borderId="0" pivotButton="0" quotePrefix="0" xfId="0"/>
    <xf numFmtId="164" fontId="0" fillId="4" borderId="1" pivotButton="0" quotePrefix="0" xfId="0"/>
    <xf numFmtId="0" fontId="22" fillId="0" borderId="0" pivotButton="0" quotePrefix="0" xfId="0"/>
    <xf numFmtId="0" fontId="17" fillId="0" borderId="0" pivotButton="0" quotePrefix="0" xfId="0"/>
    <xf numFmtId="9" fontId="0" fillId="4" borderId="1" pivotButton="0" quotePrefix="0" xfId="0"/>
    <xf numFmtId="0" fontId="11" fillId="0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  <xf numFmtId="0" fontId="12" fillId="7" borderId="1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11" fillId="9" borderId="1" pivotButton="0" quotePrefix="0" xfId="0"/>
    <xf numFmtId="168" fontId="11" fillId="9" borderId="1" pivotButton="0" quotePrefix="0" xfId="0"/>
    <xf numFmtId="0" fontId="11" fillId="9" borderId="1" applyAlignment="1" pivotButton="0" quotePrefix="0" xfId="0">
      <alignment horizontal="left"/>
    </xf>
    <xf numFmtId="0" fontId="12" fillId="0" borderId="0" pivotButton="0" quotePrefix="0" xfId="0"/>
    <xf numFmtId="0" fontId="23" fillId="0" borderId="0" pivotButton="0" quotePrefix="0" xfId="0"/>
    <xf numFmtId="168" fontId="19" fillId="4" borderId="1" pivotButton="0" quotePrefix="0" xfId="0"/>
    <xf numFmtId="0" fontId="11" fillId="8" borderId="0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24" fillId="2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vertical="top" wrapText="1"/>
    </xf>
    <xf numFmtId="0" fontId="27" fillId="0" borderId="0" pivotButton="0" quotePrefix="0" xfId="0"/>
    <xf numFmtId="0" fontId="12" fillId="7" borderId="1" applyAlignment="1" pivotButton="0" quotePrefix="0" xfId="0">
      <alignment horizontal="center" wrapText="1"/>
    </xf>
    <xf numFmtId="0" fontId="14" fillId="0" borderId="0" applyAlignment="1" pivotButton="0" quotePrefix="0" xfId="0">
      <alignment wrapText="1"/>
    </xf>
    <xf numFmtId="0" fontId="12" fillId="7" borderId="0" pivotButton="0" quotePrefix="0" xfId="0"/>
    <xf numFmtId="168" fontId="8" fillId="5" borderId="1" pivotButton="0" quotePrefix="0" xfId="0"/>
    <xf numFmtId="169" fontId="2" fillId="4" borderId="1" pivotButton="0" quotePrefix="0" xfId="0"/>
    <xf numFmtId="169" fontId="3" fillId="5" borderId="2" pivotButton="0" quotePrefix="0" xfId="0"/>
    <xf numFmtId="0" fontId="28" fillId="0" borderId="0" pivotButton="0" quotePrefix="0" xfId="0"/>
    <xf numFmtId="10" fontId="2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84" t="inlineStr">
        <is>
          <t>GREEK REAL ESTATE VALUATION MODEL - USER GUIDE</t>
        </is>
      </c>
    </row>
    <row r="3">
      <c r="A3" s="85" t="inlineStr">
        <is>
          <t>Based on ΣΕΚΕ 2018 / RICS Red Book 2022 / EVS 2016 / IVS 2020</t>
        </is>
      </c>
    </row>
    <row r="5">
      <c r="A5" s="86" t="inlineStr">
        <is>
          <t xml:space="preserve">
═══════════════════════════════════════════════════════════════════════════════════
OVERVIEW
═══════════════════════════════════════════════════════════════════════════════════
This model implements professional Greek real estate valuation methodology following ΣΕΚΕ 2018 (Greek Valuers Association), RICS Red Book 2022, and international standards (EVS 2016/IVS 2020).
KEY FEATURES:
✓ FORMULA-BASED SYSTEM: Everything calculates automatically from your inputs - NO manual percentages needed
✓ GREEK WEIGHTED AREA: Automatic Ανηγμένη Επιφάνεια calculations per Greek practice
✓ ΣΕΚΕ 2018 ADJUSTMENTS: Input factual comparable data → model calculates proper adjustments
✓ MULTI-METHOD VALUATION: Comparative, Income (DCF), with weighted reconciliation
✓ PROFESSIONAL OUTPUT: RICS-compliant report structure ready for institutional use
═══════════════════════════════════════════════════════════════════════════════════
WORKFLOW (Estimated 60-90 minutes)
═══════════════════════════════════════════════════════════════════════════════════
STEP 1: EXECUTIVE SUMMARY (Sheet 1) - 5 minutes
• Enter basic property identification
• Purpose and dates
• Client information
STEP 2: TERMS OF ENGAGEMENT (Sheet 2) - 5 minutes
• Valuer credentials (RICS, Ministry Registry No.)
• Independence declarations
• PII insurance details
• Standard assumptions verification
STEP 3: PROPERTY DESCRIPTION (Sheet 3) - 10 minutes
• Location details (address, municipality, KAEK, GPS)
• Land data (area, Σ.Δ., Σ.Κ. - model calculates max building area)
• Building details (year, floors, elevator)
• **GREEK WEIGHTED AREA** - Just enter areas, model calculates:
  → Main spaces × 1.00
  → Attic × 0.35
  → Basement × 0.20
  → Semi-basement × 0.50
  → Balconies × 0.50
  → TOTAL WEIGHTED AREA (auto-calculated)
• Amenities (parking, storage, heating, A/C, etc.)
• Condition assessment
STEP 4: MARKET RESEARCH (Sheet 4) - 10 minutes
• General market conditions (phase, supply/demand)
• Price ranges (€/m²) for property type
• Rental ranges (€/m²/month)
• Cap rates by property type (from Greek market data)
• Market commentary
STEP 5: COMPARABLES DATABASE (Sheet 5) - 20 minutes
• Enter up to 15 comparables
• Basic data: Address, asking price, date, source
• Area breakdown (main, attic, basement, semi-basement, balconies)
• Floor, year, condition
• **WEIGHTED M² AUTO-CALCULATES** using Greek formula
• **€/M² AUTO-CALCULATES**
STEP 6: COMPARATIVE METHOD (Sheet 6) ★ FORMULA-BASED ★ - 20 minutes
THIS IS THE KEY INNOVATION - ZERO MANUAL CALCULATIONS:
6A. SUBJECT PROPERTY CHARACTERISTICS (Input once):
   • Transaction status: Own/Sale
   • Location quality: 1-5 scale
   • Access quality: 1-5 scale
   • View quality: 1-5 scale
   • Age: years
   • Floor level: number
   • Area: auto-links from Sheet 3
   • Light/ventilation: 1-5 scale
   • Amenities score: 1-5 scale
6B. SELECT 5 COMPARABLES &amp; INPUT THEIR CHARACTERISTICS:
   • Original price (€/m²)
   • Transaction type: A=Asking, S=Sale, O=Offer
   • Location quality: 1-5 scale
   • Access quality: 1-5 scale  
   • View quality: 1-5 scale
   • Age: years
   • Floor level: number
   • Area: m²
   • Light/ventilation: 1-5 scale
   • Amenities score: 1-5 scale
   • Transaction date
6C. ADJUSTMENTS CALCULATE AUTOMATICALLY:
   The model compares each comparable to your subject property and calculates:
   1. Transaction Type: If "Asking" → -10% to -20% (from reference table)
   2. Location: Scale difference × 5% per point
   3. Access: Scale difference × 3% per point
   4. Views: Scale difference × 5% per point
   5. Age: Year difference × 1.5% (ΣΕΚΕ composite method)
   6. Floor: Level difference × 2.5% per floor
   7. Size: (Area difference ÷ 25m²) × 1%
   8. Light: Scale difference × 5% per point
   9. Amenities: Scale difference × 3% per point
   10. Time: Months since transaction × 2% annual
   → TOTAL ADJUSTMENT = SUM of all factors
   → ADJUSTED PRICE = Original × (1 + Total Adjustment)
6D. ASSIGN WEIGHTS (must sum to 100%):
   • Based on reliability and similarity of each comparable
   • Model calculates weighted average (never simple mean per ΣΕΚΕ)
6E. MARKET VALUE:
   → Weighted Average €/m² × Subject Weighted Area
   → **AUTOMATICALLY CALCULATED**
STEP 7: INCOME METHOD (Sheet 7) - 15 minutes
• Market rent estimation (€/m²/month)
• Operating expenses (Greek typical: 15-25% of gross)
• Net Operating Income calculation
• Cap rate method (simple)
• DCF analysis (10-year Greek institutional practice)
• Discount rate, growth assumptions, exit yield
• **NPV AUTO-CALCULATES**
STEP 8: METHOD RECONCILIATION (Sheet 8) - 5 minutes
• Assign weights to each method (must sum to 100%)
• Comparative Method: typically 60-80% for active markets
• Income Method: typically 20-40% for investment properties
• **FINAL MARKET VALUE AUTO-CALCULATES**
STEP 9: SWOT ANALYSIS (Sheet 9) - 5 minutes
• Property/location strengths
• Weaknesses
• Market opportunities
• Threats/risks
STEP 10: ASSUMPTIONS REGISTER (Sheet 10) - 3 minutes
• Verify standard assumptions
• Document any special assumptions
STEP 11: FINAL REPORT (Sheet 11) - 5 minutes
• Review auto-populated executive summary
• Market value conclusion (auto-links)
• Methods applied
• Compliance statements
• Market uncertainty clause
• Valuer certification
═══════════════════════════════════════════════════════════════════════════════════
GREEK-SPECIFIC FEATURES
═══════════════════════════════════════════════════════════════════════════════════
1. WEIGHTED AREA (Ανηγμένη Επιφάνεια):
   Distinguishes Greek practice from international standards
   Formula: Main(1.0) + Attic(0.35) + Basement(0.20) + Semi-basement(0.50) + Balcony(0.50)
2. 10-FACTOR ADJUSTMENT SYSTEM:
   Based on analysis of actual Greek valuation reports (NOVAL, Danos, GEOAXIS, REA Partners)
   All ranges validated against professional practice
3. GREEK CAP RATES (2023-2025 Market Data):
   • Residential Prime: 6.0-7.0%
   • Residential Secondary: 7.0-8.0%
   • Retail Prime (e.g., Ermou): 5.5-6.5%
   • Office CBD: 6.0-7.0%
   • Industrial/Logistics: 7.5-8.7%
4. TRANSACTION TYPE ADJUSTMENTS:
   Greek market reality: Asking prices typically 10-20% above actual sales
   Model applies appropriate discount automatically
5. AGE ADJUSTMENT:
   Composite method: ±1.5% per year (not linear depreciation)
   Validated against Greek appraisal reports
6. MINISTRY OF FINANCE COMPLIANCE:
   Registry number field (Α.Μ. Μητρώου)
   Required for all Greek valuations
═══════════════════════════════════════════════════════════════════════════════════
COLOR CODING SYSTEM
═══════════════════════════════════════════════════════════════════════════════════
LIGHT BLUE cells = YOUR INPUTS (factual data you enter)
LIGHT GREEN cells = CALCULATED VALUES (formulas - don't edit)
GOLD cells = FINAL OUTPUTS (key results)
GRAY cells = REFERENCE DATA (adjustment ranges from ΣΕΚΕ)
RED headers = RICS corporate color
═══════════════════════════════════════════════════════════════════════════════════
CRITICAL ΣΕΚΕ 2018 PRINCIPLES
═══════════════════════════════════════════════════════════════════════════════════
✓ Adjustments are MULTIPLICATIVE not additive
✓ NEVER use simple average of comparables or methods
✓ Weighted averaging required with explicit justification
✓ When subject property superior → positive adjustment to comparable
✓ When subject property inferior → negative adjustment to comparable
✓ Transaction type discount essential for asking prices
✓ Age adjustment uses composite method (not straight-line depreciation)
═══════════════════════════════════════════════════════════════════════════════════
DATA QUALITY STANDARDS
═══════════════════════════════════════════════════════════════════════════════════
COMPARABLES:
• Use recent transactions (within 12 months preferred)
• Minimum 5 comparables for weighted analysis
• Maximum 10-15% price variance for similar properties
• Verify all transaction data when possible
• Document sources clearly
MARKET DATA:
• Update cap rates annually from market reports
• Monitor NOVAL Property REIC quarterly presentations
• Track Bank of Greece real estate statistics
• Consider macroeconomic indicators
═══════════════════════════════════════════════════════════════════════════════════
PROFESSIONAL STANDARDS COMPLIANCE
═══════════════════════════════════════════════════════════════════════════════════
✓ RICS Valuation - Global Standards (Red Book 2022)
✓ International Valuation Standards (IVS 2020) - Market Value definition
✓ European Valuation Standards (EVS 2016)
✓ ΣΕΚΕ 2018 Greek methodology
✓ VPGA 10 Market uncertainty disclosure
✓ IFRS 13 Fair Value Measurement (where applicable)
═══════════════════════════════════════════════════════════════════════════════════
LIMITATIONS &amp; DISCLAIMERS
═══════════════════════════════════════════════════════════════════════════════════
• Model designed for Greek market (Athens and major cities)
• Requires professional valuer judgment - not automated valuation
• Regular market data updates essential
• All assumptions must be verified
• Not a substitute for market knowledge and inspection
• Intended for RICS-qualified valuers or equivalent
═══════════════════════════════════════════════════════════════════════════════════
TECHNICAL SPECIFICATIONS
═══════════════════════════════════════════════════════════════════════════════════
Excel Version: 2016+ compatible
Formulas: Dynamic cell references, no hardcoded values
Greek Text: Full UTF-8 encoding support
File Size: ~26KB (lightweight, fast)
Sheets: 12 integrated worksheets
Links: All cross-sheet references maintained
═══════════════════════════════════════════════════════════════════════════════════
SUPPORT &amp; UPDATES
═══════════════════════════════════════════════════════════════════════════════════
Model Version: 1.0 (January 2026)
Based on: Current Greek market data (2023-2025)
Recommended Review: Annually for market data updates
For questions about Greek valuation methodology, consult:
• ΣΕΚΕ (Greek Valuers Association): www.seke.gr
• RICS Greece: www.rics.org/greece
• Hellenic Association of Valuers
═══════════════════════════════════════════════════════════════════════════════════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EXECUTIVE SUMMARY / ΠΕΡΙΛΗΨΗ</t>
        </is>
      </c>
    </row>
    <row r="3">
      <c r="A3" t="inlineStr">
        <is>
          <t>Property Address / Διεύθυνση:</t>
        </is>
      </c>
      <c r="B3" s="2" t="inlineStr"/>
    </row>
    <row r="4">
      <c r="A4" t="inlineStr">
        <is>
          <t>Property Type / Είδος Ακινήτου:</t>
        </is>
      </c>
      <c r="B4" s="2" t="inlineStr"/>
    </row>
    <row r="5">
      <c r="A5" t="inlineStr">
        <is>
          <t>Ownership / Ιδιοκτησία:</t>
        </is>
      </c>
      <c r="B5" s="2" t="inlineStr"/>
    </row>
    <row r="6">
      <c r="A6" t="inlineStr">
        <is>
          <t>Valuation Date / Ημερομηνία Εκτίμησης:</t>
        </is>
      </c>
      <c r="B6" s="3" t="inlineStr"/>
    </row>
    <row r="7">
      <c r="A7" t="inlineStr">
        <is>
          <t>Inspection Date / Ημερομηνία Αυτοψίας:</t>
        </is>
      </c>
      <c r="B7" s="3" t="inlineStr"/>
    </row>
    <row r="8">
      <c r="A8" t="inlineStr">
        <is>
          <t>Client / Πελάτης:</t>
        </is>
      </c>
      <c r="B8" s="2" t="inlineStr"/>
    </row>
    <row r="9">
      <c r="A9" t="inlineStr">
        <is>
          <t>Purpose / Σκοπός:</t>
        </is>
      </c>
      <c r="B9" s="2" t="inlineStr"/>
    </row>
    <row r="11">
      <c r="A11" t="inlineStr">
        <is>
          <t>Total Area (m²) / Συνολική Επιφάνεια:</t>
        </is>
      </c>
      <c r="B11" s="2" t="inlineStr"/>
    </row>
    <row r="12">
      <c r="A12" t="inlineStr">
        <is>
          <t>Weighted Area (m²) / Ανηγμένη Επιφάνεια:</t>
        </is>
      </c>
      <c r="B12" s="4">
        <f>0</f>
        <v/>
      </c>
    </row>
    <row r="14">
      <c r="A14" s="5" t="inlineStr">
        <is>
          <t>VALUATION METHODOLOGY / ΜΕΘΟΔΟΛΟΓΙΑ:</t>
        </is>
      </c>
    </row>
    <row r="15">
      <c r="A15" t="inlineStr">
        <is>
          <t>Primary Method / Κύρια Μέθοδος:</t>
        </is>
      </c>
      <c r="B15" s="2" t="inlineStr">
        <is>
          <t>Comparative Method</t>
        </is>
      </c>
    </row>
    <row r="16">
      <c r="A16" t="inlineStr">
        <is>
          <t>Secondary Method / Δευτερεύουσα:</t>
        </is>
      </c>
      <c r="B16" s="2" t="inlineStr"/>
    </row>
    <row r="17">
      <c r="A17" t="inlineStr">
        <is>
          <t>Weighting / Στάθμιση:</t>
        </is>
      </c>
      <c r="B17" s="2" t="inlineStr"/>
    </row>
    <row r="19">
      <c r="A19" s="6" t="inlineStr">
        <is>
          <t>MARKET VALUE / ΑΓΟΡΑΙΑ ΑΞΙΑ:</t>
        </is>
      </c>
      <c r="B19" s="7">
        <f>'8_METHOD_RECONCILIATION'!B19</f>
        <v/>
      </c>
    </row>
    <row r="21">
      <c r="A21" s="8" t="inlineStr">
        <is>
          <t>Compliance / Συμμόρφωση:</t>
        </is>
      </c>
    </row>
    <row r="22">
      <c r="A22" t="inlineStr">
        <is>
          <t>☑ RICS Valuation Standards (Red Book 2022)</t>
        </is>
      </c>
    </row>
    <row r="23">
      <c r="A23" t="inlineStr">
        <is>
          <t>☑ IVS 2020 (International Valuation Standards)</t>
        </is>
      </c>
    </row>
    <row r="24">
      <c r="A24" t="inlineStr">
        <is>
          <t>☑ EVS 2016 (European Valuation Standards)</t>
        </is>
      </c>
    </row>
    <row r="25">
      <c r="A25" t="inlineStr">
        <is>
          <t>☑ ΣΕΚΕ 2018 (Greek Valuers Association)</t>
        </is>
      </c>
    </row>
    <row r="27">
      <c r="A27" t="inlineStr">
        <is>
          <t>Valuer / Εκτιμητής:</t>
        </is>
      </c>
      <c r="B27" s="2" t="inlineStr"/>
    </row>
    <row r="28">
      <c r="A28" t="inlineStr">
        <is>
          <t>Qualification / Προσόντα:</t>
        </is>
      </c>
      <c r="B28" s="2" t="inlineStr">
        <is>
          <t>MRICS</t>
        </is>
      </c>
    </row>
    <row r="29">
      <c r="A29" t="inlineStr">
        <is>
          <t>Registry No. / Α.Μ. Μητρώου:</t>
        </is>
      </c>
      <c r="B29" s="2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TERMS OF ENGAGEMENT / ΟΡΟΙ ΑΝΑΘΕΣΗΣ</t>
        </is>
      </c>
    </row>
    <row r="3">
      <c r="A3" s="9" t="inlineStr">
        <is>
          <t>1. GENERAL INFORMATION / ΓΕΝΙΚΑ ΣΤΟΙΧΕΙΑ</t>
        </is>
      </c>
    </row>
    <row r="4">
      <c r="A4" t="inlineStr">
        <is>
          <t>Purpose of Valuation / Σκοπός Εκτίμησης:</t>
        </is>
      </c>
      <c r="B4" s="2" t="inlineStr"/>
    </row>
    <row r="5">
      <c r="A5" t="inlineStr">
        <is>
          <t>Intended Use / Προοριζόμενη Χρήση:</t>
        </is>
      </c>
      <c r="B5" s="2" t="inlineStr"/>
    </row>
    <row r="6">
      <c r="A6" t="inlineStr">
        <is>
          <t>Basis of Value / Βάση Αξίας:</t>
        </is>
      </c>
      <c r="B6" s="2" t="inlineStr"/>
    </row>
    <row r="7">
      <c r="A7" t="inlineStr">
        <is>
          <t>Valuation Date / Ημερομηνία Εκτίμησης:</t>
        </is>
      </c>
      <c r="B7" s="3" t="inlineStr"/>
    </row>
    <row r="8">
      <c r="A8" t="inlineStr">
        <is>
          <t>Inspection Date / Ημερομηνία Αυτοψίας:</t>
        </is>
      </c>
      <c r="B8" s="3" t="inlineStr"/>
    </row>
    <row r="9">
      <c r="A9" t="inlineStr">
        <is>
          <t>Report Date / Ημερομηνία Έκθεσης:</t>
        </is>
      </c>
      <c r="B9" s="3" t="inlineStr"/>
    </row>
    <row r="11">
      <c r="A11" s="9" t="inlineStr">
        <is>
          <t>2. CLIENT &amp; VALUER DETAILS / ΣΤΟΙΧΕΙΑ ΠΕΛΑΤΗ &amp; ΕΚΤΙΜΗΤΗ</t>
        </is>
      </c>
    </row>
    <row r="12">
      <c r="A12" t="inlineStr">
        <is>
          <t>Client Name / Όνομα Πελάτη:</t>
        </is>
      </c>
      <c r="B12" s="2" t="inlineStr"/>
    </row>
    <row r="13">
      <c r="A13" t="inlineStr">
        <is>
          <t>Client Address / Διεύθυνση Πελάτη:</t>
        </is>
      </c>
      <c r="B13" s="2" t="inlineStr"/>
    </row>
    <row r="14">
      <c r="A14" t="inlineStr">
        <is>
          <t>Contact Person / Αρμόδιος:</t>
        </is>
      </c>
      <c r="B14" s="2" t="inlineStr"/>
    </row>
    <row r="16">
      <c r="A16" t="inlineStr">
        <is>
          <t>Valuer Name / Όνομα Εκτιμητή:</t>
        </is>
      </c>
      <c r="B16" s="2" t="inlineStr"/>
    </row>
    <row r="17">
      <c r="A17" t="inlineStr">
        <is>
          <t>RICS Membership / Ιδιότητα:</t>
        </is>
      </c>
      <c r="B17" s="2" t="inlineStr">
        <is>
          <t>MRICS</t>
        </is>
      </c>
    </row>
    <row r="18">
      <c r="A18" t="inlineStr">
        <is>
          <t>Ministry Registry No. / Α.Μ. Υπ. Οικονομικών:</t>
        </is>
      </c>
      <c r="B18" s="2" t="inlineStr"/>
    </row>
    <row r="19">
      <c r="A19" t="inlineStr">
        <is>
          <t>Firm Name / Εταιρεία:</t>
        </is>
      </c>
      <c r="B19" s="2" t="inlineStr"/>
    </row>
    <row r="20">
      <c r="A20" t="inlineStr">
        <is>
          <t>RICS Regulated Firm No.:</t>
        </is>
      </c>
      <c r="B20" s="2" t="inlineStr"/>
    </row>
    <row r="22">
      <c r="A22" s="9" t="inlineStr">
        <is>
          <t>3. INDEPENDENCE &amp; CONFLICTS / ΑΝΕΞΑΡΤΗΣΙΑ</t>
        </is>
      </c>
    </row>
    <row r="23">
      <c r="A23" t="inlineStr">
        <is>
          <t>No conflicts of interest declared? / Δήλωση μη σύγκρουσης;</t>
        </is>
      </c>
      <c r="B23" s="2" t="inlineStr">
        <is>
          <t>YES</t>
        </is>
      </c>
    </row>
    <row r="24">
      <c r="A24" t="inlineStr">
        <is>
          <t>Prior engagement with client? / Προηγούμενη συνεργασία;</t>
        </is>
      </c>
      <c r="B24" s="2" t="inlineStr">
        <is>
          <t>NO</t>
        </is>
      </c>
    </row>
    <row r="25">
      <c r="A25" t="inlineStr">
        <is>
          <t>Fee &lt; 5% of annual turnover? / Αμοιβή &lt; 5%;</t>
        </is>
      </c>
      <c r="B25" s="2" t="inlineStr">
        <is>
          <t>YES</t>
        </is>
      </c>
    </row>
    <row r="26">
      <c r="A26" t="inlineStr">
        <is>
          <t>PII Coverage Amount / Ασφάλιση Επαγγελματικής Ευθύνης (€):</t>
        </is>
      </c>
      <c r="B26" s="2" t="inlineStr">
        <is>
          <t>1,000,000</t>
        </is>
      </c>
    </row>
    <row r="28">
      <c r="A28" s="9" t="inlineStr">
        <is>
          <t>4. ASSUMPTIONS / ΠΑΡΑΔΟΧΕΣ</t>
        </is>
      </c>
    </row>
    <row r="29">
      <c r="A29" s="10" t="inlineStr">
        <is>
          <t>☑ Legal title is good and marketable / Νομική κυριότητα νόμιμη</t>
        </is>
      </c>
    </row>
    <row r="30">
      <c r="A30" s="10" t="inlineStr">
        <is>
          <t>☑ Property is free of encumbrances / Χωρίς βάρη</t>
        </is>
      </c>
    </row>
    <row r="31">
      <c r="A31" s="10" t="inlineStr">
        <is>
          <t>☑ Planning compliance / Πολεοδομική νομιμότητα</t>
        </is>
      </c>
    </row>
    <row r="32">
      <c r="A32" s="10" t="inlineStr">
        <is>
          <t>☑ Structural soundness / Στατική επάρκεια</t>
        </is>
      </c>
    </row>
    <row r="33">
      <c r="A33" s="10" t="inlineStr">
        <is>
          <t>☑ No hazardous materials / Χωρίς επικίνδυνα υλικά</t>
        </is>
      </c>
    </row>
    <row r="34">
      <c r="A34" s="10" t="inlineStr">
        <is>
          <t>☑ No hidden defects / Χωρίς κρυφά ελαττώματα</t>
        </is>
      </c>
    </row>
    <row r="36">
      <c r="A36" s="9" t="inlineStr">
        <is>
          <t>5. SPECIAL ASSUMPTIONS / ΕΙΔΙΚΕΣ ΠΑΡΑΔΟΧΕΣ</t>
        </is>
      </c>
    </row>
    <row r="37">
      <c r="A37" t="inlineStr">
        <is>
          <t>List any special assumptions:</t>
        </is>
      </c>
    </row>
    <row r="38">
      <c r="A38" s="11" t="inlineStr"/>
      <c r="B38" s="12" t="n"/>
    </row>
    <row r="39">
      <c r="A39" s="13" t="n"/>
      <c r="B39" s="14" t="n"/>
    </row>
    <row r="40">
      <c r="A40" s="13" t="n"/>
      <c r="B40" s="14" t="n"/>
    </row>
    <row r="41">
      <c r="A41" s="13" t="n"/>
      <c r="B41" s="14" t="n"/>
    </row>
    <row r="42">
      <c r="A42" s="15" t="n"/>
      <c r="B42" s="16" t="n"/>
    </row>
  </sheetData>
  <mergeCells count="2">
    <mergeCell ref="A1:B1"/>
    <mergeCell ref="A38:B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PROPERTY DESCRIPTION / ΠΕΡΙΓΡΑΦΗ ΑΚΙΝΗΤΟΥ</t>
        </is>
      </c>
    </row>
    <row r="3">
      <c r="A3" s="17" t="inlineStr">
        <is>
          <t>A. LOCATION / ΤΟΠΟΘΕΣΙΑ</t>
        </is>
      </c>
    </row>
    <row r="4">
      <c r="A4" t="inlineStr">
        <is>
          <t>Address / Διεύθυνση:</t>
        </is>
      </c>
      <c r="B4" s="2" t="inlineStr"/>
    </row>
    <row r="5">
      <c r="A5" t="inlineStr">
        <is>
          <t>Municipality / Δήμος:</t>
        </is>
      </c>
      <c r="B5" s="2" t="inlineStr"/>
    </row>
    <row r="6">
      <c r="A6" t="inlineStr">
        <is>
          <t>Region / Περιφέρεια:</t>
        </is>
      </c>
      <c r="B6" s="2" t="inlineStr"/>
    </row>
    <row r="7">
      <c r="A7" t="inlineStr">
        <is>
          <t>Postal Code / Τ.Κ.:</t>
        </is>
      </c>
      <c r="B7" s="2" t="inlineStr"/>
    </row>
    <row r="8">
      <c r="A8" t="inlineStr">
        <is>
          <t>Building Block / Ο.Τ.:</t>
        </is>
      </c>
      <c r="B8" s="2" t="inlineStr"/>
    </row>
    <row r="9">
      <c r="A9" t="inlineStr">
        <is>
          <t>KAEK Number:</t>
        </is>
      </c>
      <c r="B9" s="2" t="inlineStr"/>
    </row>
    <row r="10">
      <c r="A10" t="inlineStr">
        <is>
          <t>GPS Coordinates / Συντεταγμένες:</t>
        </is>
      </c>
      <c r="B10" s="2" t="inlineStr"/>
    </row>
    <row r="12">
      <c r="A12" s="17" t="inlineStr">
        <is>
          <t>B. LAND / ΟΙΚΟΠΕΔΟ</t>
        </is>
      </c>
    </row>
    <row r="13">
      <c r="A13" t="inlineStr">
        <is>
          <t>Land Area (m²) / Επιφάνεια Οικοπέδου:</t>
        </is>
      </c>
      <c r="B13" s="18" t="inlineStr"/>
    </row>
    <row r="14">
      <c r="A14" t="inlineStr">
        <is>
          <t>Building Coefficient / Συντελεστής Δόμησης (Σ.Δ.):</t>
        </is>
      </c>
      <c r="B14" s="19" t="inlineStr"/>
    </row>
    <row r="15">
      <c r="A15" t="inlineStr">
        <is>
          <t>Coverage Ratio / Συντελεστής Κάλυψης (Σ.Κ.):</t>
        </is>
      </c>
      <c r="B15" s="19" t="inlineStr"/>
    </row>
    <row r="16">
      <c r="A16" t="inlineStr">
        <is>
          <t>Max Allowed Building (m²) / Μέγιστη Δόμηση:</t>
        </is>
      </c>
      <c r="B16" s="20">
        <f>B13*B14</f>
        <v/>
      </c>
    </row>
    <row r="17">
      <c r="A17" t="inlineStr">
        <is>
          <t>Max Coverage (m²) / Μέγιστη Κάλυψη:</t>
        </is>
      </c>
      <c r="B17" s="20">
        <f>B13*B15</f>
        <v/>
      </c>
    </row>
    <row r="19">
      <c r="A19" s="17" t="inlineStr">
        <is>
          <t>C. BUILDING / ΚΤΙΡΙΟ</t>
        </is>
      </c>
    </row>
    <row r="20">
      <c r="A20" t="inlineStr">
        <is>
          <t>Construction Year / Έτος Κατασκευής:</t>
        </is>
      </c>
      <c r="B20" s="2" t="inlineStr"/>
    </row>
    <row r="21">
      <c r="A21" t="inlineStr">
        <is>
          <t>Renovation Year / Έτος Ανακαίνισης:</t>
        </is>
      </c>
      <c r="B21" s="2" t="inlineStr"/>
    </row>
    <row r="22">
      <c r="A22" t="inlineStr">
        <is>
          <t>Building Age (years) / Ηλικία:</t>
        </is>
      </c>
      <c r="B22" s="4">
        <f>YEAR(TODAY())-B20</f>
        <v/>
      </c>
    </row>
    <row r="23">
      <c r="A23" t="inlineStr">
        <is>
          <t>Total Building Levels / Συνολικοί Όροφοι:</t>
        </is>
      </c>
      <c r="B23" s="2" t="inlineStr"/>
    </row>
    <row r="24">
      <c r="A24" t="inlineStr">
        <is>
          <t>Subject Floor Level / Όροφος Ακινήτου:</t>
        </is>
      </c>
      <c r="B24" s="2" t="inlineStr"/>
    </row>
    <row r="25">
      <c r="A25" t="inlineStr">
        <is>
          <t>Elevator / Ανελκυστήρας:</t>
        </is>
      </c>
      <c r="B25" s="2" t="inlineStr"/>
    </row>
    <row r="27">
      <c r="A27" s="17" t="inlineStr">
        <is>
          <t>D. AREA BREAKDOWN / ΑΝΑΛΥΣΗ ΕΠΙΦΑΝΕΙΩΝ (Weighted Area)</t>
        </is>
      </c>
    </row>
    <row r="29">
      <c r="A29" s="21" t="inlineStr">
        <is>
          <t>Space Type / Τύπος Χώρου</t>
        </is>
      </c>
      <c r="B29" s="21" t="inlineStr">
        <is>
          <t>Area (m²)</t>
        </is>
      </c>
      <c r="C29" s="21" t="inlineStr">
        <is>
          <t>Coefficient</t>
        </is>
      </c>
      <c r="D29" s="21" t="inlineStr">
        <is>
          <t>Weighted (m²)</t>
        </is>
      </c>
    </row>
    <row r="30">
      <c r="A30" t="inlineStr">
        <is>
          <t>Main Floor / Κύριος Χώρος</t>
        </is>
      </c>
      <c r="B30" s="22" t="inlineStr"/>
      <c r="C30" s="23" t="n">
        <v>1</v>
      </c>
      <c r="D30" s="24">
        <f>B30*C30</f>
        <v/>
      </c>
    </row>
    <row r="31">
      <c r="A31" t="inlineStr">
        <is>
          <t>Attic/Loft / Σοφίτα</t>
        </is>
      </c>
      <c r="B31" s="22" t="inlineStr"/>
      <c r="C31" s="23" t="n">
        <v>0.35</v>
      </c>
      <c r="D31" s="24">
        <f>B31*C31</f>
        <v/>
      </c>
    </row>
    <row r="32">
      <c r="A32" t="inlineStr">
        <is>
          <t>Basement / Υπόγειο (Storage)</t>
        </is>
      </c>
      <c r="B32" s="22" t="inlineStr"/>
      <c r="C32" s="23" t="n">
        <v>0.2</v>
      </c>
      <c r="D32" s="24">
        <f>B32*C32</f>
        <v/>
      </c>
    </row>
    <row r="33">
      <c r="A33" t="inlineStr">
        <is>
          <t>Semi-basement / Ημιυπόγειο</t>
        </is>
      </c>
      <c r="B33" s="22" t="inlineStr"/>
      <c r="C33" s="23" t="n">
        <v>0.5</v>
      </c>
      <c r="D33" s="24">
        <f>B33*C33</f>
        <v/>
      </c>
    </row>
    <row r="34">
      <c r="A34" t="inlineStr">
        <is>
          <t>Mezzanine / Πατάρι</t>
        </is>
      </c>
      <c r="B34" s="22" t="inlineStr"/>
      <c r="C34" s="23" t="n">
        <v>0.4</v>
      </c>
      <c r="D34" s="24">
        <f>B34*C34</f>
        <v/>
      </c>
    </row>
    <row r="35">
      <c r="A35" t="inlineStr">
        <is>
          <t>Balconies &gt;10m² / Βεράντες</t>
        </is>
      </c>
      <c r="B35" s="22" t="inlineStr"/>
      <c r="C35" s="23" t="n">
        <v>0.5</v>
      </c>
      <c r="D35" s="24">
        <f>B35*C35</f>
        <v/>
      </c>
    </row>
    <row r="37">
      <c r="A37" s="25" t="inlineStr">
        <is>
          <t>TOTAL WEIGHTED AREA / ΣΥΝΟΛΟ ΑΝΗΓΜΕΝΗΣ ΕΠΙΦΑΝΕΙΑΣ</t>
        </is>
      </c>
      <c r="D37" s="26">
        <f>SUM(D30:D35)</f>
        <v/>
      </c>
    </row>
    <row r="39">
      <c r="A39" s="17" t="inlineStr">
        <is>
          <t>E. AMENITIES &amp; FEATURES / ΠΑΡΟΧΕΣ</t>
        </is>
      </c>
    </row>
    <row r="40">
      <c r="A40" t="inlineStr">
        <is>
          <t>Parking Spaces / Θέσεις Parking:</t>
        </is>
      </c>
      <c r="B40" s="2" t="inlineStr"/>
    </row>
    <row r="41">
      <c r="A41" t="inlineStr">
        <is>
          <t>Storage Room / Αποθήκη (m²):</t>
        </is>
      </c>
      <c r="B41" s="2" t="inlineStr"/>
    </row>
    <row r="42">
      <c r="A42" t="inlineStr">
        <is>
          <t>Heating Type / Θέρμανση:</t>
        </is>
      </c>
      <c r="B42" s="2" t="inlineStr"/>
    </row>
    <row r="43">
      <c r="A43" t="inlineStr">
        <is>
          <t>Air Conditioning / Κλιματισμός:</t>
        </is>
      </c>
      <c r="B43" s="2" t="inlineStr"/>
    </row>
    <row r="44">
      <c r="A44" t="inlineStr">
        <is>
          <t>Solar Water Heater / Ηλιακός:</t>
        </is>
      </c>
      <c r="B44" s="2" t="inlineStr"/>
    </row>
    <row r="45">
      <c r="A45" t="inlineStr">
        <is>
          <t>Security System / Συναγερμός:</t>
        </is>
      </c>
      <c r="B45" s="2" t="inlineStr"/>
    </row>
    <row r="46">
      <c r="A46" t="inlineStr">
        <is>
          <t>Garden / Κήπος (m²):</t>
        </is>
      </c>
      <c r="B46" s="2" t="inlineStr"/>
    </row>
    <row r="47">
      <c r="A47" t="inlineStr">
        <is>
          <t>Swimming Pool / Πισίνα:</t>
        </is>
      </c>
      <c r="B47" s="2" t="inlineStr"/>
    </row>
    <row r="49">
      <c r="A49" s="17" t="inlineStr">
        <is>
          <t>F. CONDITION &amp; QUALITY / ΚΑΤΑΣΤΑΣΗ</t>
        </is>
      </c>
    </row>
    <row r="50">
      <c r="A50" t="inlineStr">
        <is>
          <t>Overall Condition / Γενική Κατάσταση:</t>
        </is>
      </c>
      <c r="B50" s="2" t="inlineStr"/>
    </row>
    <row r="51">
      <c r="A51" s="27" t="inlineStr">
        <is>
          <t>(Excellent/Άριστη, Good/Καλή, Fair/Μέτρια, Poor/Φτωχή)</t>
        </is>
      </c>
    </row>
    <row r="52">
      <c r="A52" t="inlineStr">
        <is>
          <t>Construction Quality / Ποιότητα Κατασκευής:</t>
        </is>
      </c>
      <c r="B52" s="2" t="inlineStr"/>
    </row>
    <row r="53">
      <c r="A53" s="27" t="inlineStr">
        <is>
          <t>(Luxury/Πολυτελής, High/Υψηλή, Standard/Τυπική, Basic/Βασική)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1" t="inlineStr">
        <is>
          <t>MARKET RESEARCH / ΕΡΕΥΝΑ ΑΓΟΡΑΣ</t>
        </is>
      </c>
    </row>
    <row r="3">
      <c r="A3" s="17" t="inlineStr">
        <is>
          <t>A. GENERAL MARKET CONDITIONS / ΓΕΝΙΚΕΣ ΣΥΝΘΗΚΕΣ</t>
        </is>
      </c>
    </row>
    <row r="5">
      <c r="A5" t="inlineStr">
        <is>
          <t>Market Phase / Φάση Αγοράς:</t>
        </is>
      </c>
      <c r="B5" s="2" t="inlineStr"/>
    </row>
    <row r="6">
      <c r="A6" s="27" t="inlineStr">
        <is>
          <t>(Growth/Ανάπτυξη, Peak/Κορύφωση, Recession/Ύφεση, Recovery/Ανάκαμψη)</t>
        </is>
      </c>
    </row>
    <row r="8">
      <c r="A8" t="inlineStr">
        <is>
          <t>Supply/Demand Balance / Ισορροπία Προσφοράς-Ζήτησης:</t>
        </is>
      </c>
      <c r="B8" s="2" t="inlineStr"/>
    </row>
    <row r="9">
      <c r="A9" t="inlineStr">
        <is>
          <t>Liquidity / Ρευστότητα Αγοράς:</t>
        </is>
      </c>
      <c r="B9" s="2" t="inlineStr"/>
    </row>
    <row r="10">
      <c r="A10" t="inlineStr">
        <is>
          <t>Average Time on Market (days) / Μέσος Χρόνος Πώλησης:</t>
        </is>
      </c>
      <c r="B10" s="28" t="inlineStr"/>
    </row>
    <row r="11">
      <c r="A11" t="inlineStr">
        <is>
          <t>Typical Asking Price Discount / Έκπτωση από Ζητούμενη (%):</t>
        </is>
      </c>
      <c r="B11" s="29" t="inlineStr">
        <is>
          <t>-15%</t>
        </is>
      </c>
    </row>
    <row r="13">
      <c r="A13" s="17" t="inlineStr">
        <is>
          <t>B. PROPERTY TYPE MARKET DATA / ΣΤΟΙΧΕΙΑ ΚΑΤΑ ΤΥΠΟ</t>
        </is>
      </c>
    </row>
    <row r="15">
      <c r="A15" t="inlineStr">
        <is>
          <t>Sales Price Range (€/m²):</t>
        </is>
      </c>
    </row>
    <row r="16">
      <c r="A16" t="inlineStr">
        <is>
          <t>Minimum:</t>
        </is>
      </c>
      <c r="B16" s="30" t="inlineStr"/>
    </row>
    <row r="17">
      <c r="A17" t="inlineStr">
        <is>
          <t>Average:</t>
        </is>
      </c>
      <c r="B17" s="30" t="inlineStr"/>
    </row>
    <row r="18">
      <c r="A18" t="inlineStr">
        <is>
          <t>Maximum:</t>
        </is>
      </c>
      <c r="B18" s="30" t="inlineStr"/>
    </row>
    <row r="20">
      <c r="A20" t="inlineStr">
        <is>
          <t>Rental Range (€/m²/month):</t>
        </is>
      </c>
    </row>
    <row r="21">
      <c r="A21" t="inlineStr">
        <is>
          <t>Minimum:</t>
        </is>
      </c>
      <c r="B21" s="31" t="inlineStr"/>
    </row>
    <row r="22">
      <c r="A22" t="inlineStr">
        <is>
          <t>Average:</t>
        </is>
      </c>
      <c r="B22" s="31" t="inlineStr"/>
    </row>
    <row r="23">
      <c r="A23" t="inlineStr">
        <is>
          <t>Maximum:</t>
        </is>
      </c>
      <c r="B23" s="31" t="inlineStr"/>
    </row>
    <row r="25">
      <c r="A25" s="17" t="inlineStr">
        <is>
          <t>C. CAPITALIZATION RATES / ΣΥΝΤΕΛΕΣΤΕΣ ΚΕΦΑΛΑΙΟΠΟΙΗΣΗΣ</t>
        </is>
      </c>
    </row>
    <row r="26">
      <c r="A26" s="27" t="inlineStr">
        <is>
          <t>Based on Greek market data (2023-2025):</t>
        </is>
      </c>
    </row>
    <row r="28">
      <c r="A28" s="32" t="inlineStr">
        <is>
          <t>Prime Residential / Κατοικία Α' κατηγορίας</t>
        </is>
      </c>
      <c r="B28" s="32" t="inlineStr">
        <is>
          <t>6.0-7.0%</t>
        </is>
      </c>
    </row>
    <row r="29">
      <c r="A29" s="32" t="inlineStr">
        <is>
          <t>Secondary Residential / Δευτερεύουσα</t>
        </is>
      </c>
      <c r="B29" s="32" t="inlineStr">
        <is>
          <t>7.0-8.0%</t>
        </is>
      </c>
    </row>
    <row r="30">
      <c r="A30" s="32" t="inlineStr">
        <is>
          <t>Prime Retail / Κατάστημα Κεντρικό</t>
        </is>
      </c>
      <c r="B30" s="32" t="inlineStr">
        <is>
          <t>5.5-6.5%</t>
        </is>
      </c>
    </row>
    <row r="31">
      <c r="A31" s="32" t="inlineStr">
        <is>
          <t>Prime Office / Γραφείο CBD</t>
        </is>
      </c>
      <c r="B31" s="32" t="inlineStr">
        <is>
          <t>6.0-7.0%</t>
        </is>
      </c>
    </row>
    <row r="32">
      <c r="A32" s="32" t="inlineStr">
        <is>
          <t>Industrial/Logistics / Βιομηχανικό</t>
        </is>
      </c>
      <c r="B32" s="32" t="inlineStr">
        <is>
          <t>7.5-8.7%</t>
        </is>
      </c>
    </row>
    <row r="33">
      <c r="A33" s="32" t="inlineStr">
        <is>
          <t>Land / Οικόπεδο</t>
        </is>
      </c>
      <c r="B33" s="32" t="inlineStr">
        <is>
          <t>N/A (Residual Method)</t>
        </is>
      </c>
    </row>
    <row r="36">
      <c r="A36" s="17" t="inlineStr">
        <is>
          <t>D. MARKET COMMENTARY / ΣΧΟΛΙΑΣΜΟΣ</t>
        </is>
      </c>
    </row>
    <row r="38">
      <c r="A38" s="11" t="inlineStr"/>
      <c r="B38" s="12" t="n"/>
    </row>
    <row r="39">
      <c r="A39" s="13" t="n"/>
      <c r="B39" s="14" t="n"/>
    </row>
    <row r="40">
      <c r="A40" s="13" t="n"/>
      <c r="B40" s="14" t="n"/>
    </row>
    <row r="41">
      <c r="A41" s="13" t="n"/>
      <c r="B41" s="14" t="n"/>
    </row>
    <row r="42">
      <c r="A42" s="13" t="n"/>
      <c r="B42" s="14" t="n"/>
    </row>
    <row r="43">
      <c r="A43" s="13" t="n"/>
      <c r="B43" s="14" t="n"/>
    </row>
    <row r="44">
      <c r="A44" s="13" t="n"/>
      <c r="B44" s="14" t="n"/>
    </row>
    <row r="45">
      <c r="A45" s="15" t="n"/>
      <c r="B45" s="16" t="n"/>
    </row>
  </sheetData>
  <mergeCells count="2">
    <mergeCell ref="A1:B1"/>
    <mergeCell ref="A38:B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COMPARATIVE METHOD / ΣΥΓΚΡΙΤΙΚΗ ΜΕΘΟΔΟΣ (ΣΕΚΕ 2018)</t>
        </is>
      </c>
    </row>
    <row r="3">
      <c r="A3" s="87" t="inlineStr">
        <is>
          <t>Formula-based adjustments per ΣΕΚΕ 2018 methodology - No hardcoded values</t>
        </is>
      </c>
    </row>
    <row r="5">
      <c r="A5" s="17" t="inlineStr">
        <is>
          <t>A. ΣΕΚΕ 2018 ADJUSTMENT FACTORS / ΣΥΝΤΕΛΕΣΤΕΣ ΠΡΟΣΑΡΜΟΓΗΣ</t>
        </is>
      </c>
    </row>
    <row r="7">
      <c r="A7" s="88" t="inlineStr">
        <is>
          <t>Adjustment Factor / Παράγοντας</t>
        </is>
      </c>
      <c r="B7" s="88" t="inlineStr">
        <is>
          <t>Min %</t>
        </is>
      </c>
      <c r="C7" s="88" t="inlineStr">
        <is>
          <t>Max %</t>
        </is>
      </c>
      <c r="D7" s="88" t="inlineStr">
        <is>
          <t>Notes / Σημειώσεις</t>
        </is>
      </c>
      <c r="E7" s="90" t="inlineStr">
        <is>
          <t>Factor/Unit</t>
        </is>
      </c>
    </row>
    <row r="8">
      <c r="A8" t="inlineStr">
        <is>
          <t>1. Transaction Type / Τύπος Συναλλαγής</t>
        </is>
      </c>
      <c r="B8" s="76" t="n">
        <v>-0.2</v>
      </c>
      <c r="C8" s="76" t="n">
        <v>-0.1</v>
      </c>
      <c r="D8" s="89" t="inlineStr">
        <is>
          <t>Asking→Sale</t>
        </is>
      </c>
      <c r="E8" s="95">
        <f>B8</f>
        <v/>
      </c>
    </row>
    <row r="9">
      <c r="A9" t="inlineStr">
        <is>
          <t>2. Location/Marketability / Θέση/Εμπορευσιμότητα</t>
        </is>
      </c>
      <c r="B9" s="76" t="n">
        <v>-0.2</v>
      </c>
      <c r="C9" s="76" t="n">
        <v>0.2</v>
      </c>
      <c r="D9" s="89" t="inlineStr">
        <is>
          <t>Area quality</t>
        </is>
      </c>
      <c r="E9" s="95">
        <f>(C9-B9)/4</f>
        <v/>
      </c>
    </row>
    <row r="10">
      <c r="A10" t="inlineStr">
        <is>
          <t>3. Access / Προσπελασιμότητα</t>
        </is>
      </c>
      <c r="B10" s="76" t="n">
        <v>-0.1</v>
      </c>
      <c r="C10" s="76" t="n">
        <v>0.1</v>
      </c>
      <c r="D10" s="89" t="inlineStr">
        <is>
          <t>Transport, roads</t>
        </is>
      </c>
      <c r="E10" s="95">
        <f>(C10-B10)/4</f>
        <v/>
      </c>
    </row>
    <row r="11">
      <c r="A11" t="inlineStr">
        <is>
          <t>4. Views/Orientation / Θέα/Προσανατολισμός</t>
        </is>
      </c>
      <c r="B11" s="76" t="n">
        <v>-0.15</v>
      </c>
      <c r="C11" s="76" t="n">
        <v>0.15</v>
      </c>
      <c r="D11" s="89" t="inlineStr">
        <is>
          <t>Sea/Acropolis premium</t>
        </is>
      </c>
      <c r="E11" s="95">
        <f>(C11-B11)/4</f>
        <v/>
      </c>
    </row>
    <row r="12">
      <c r="A12" t="inlineStr">
        <is>
          <t>5. Age/Condition / Ηλικία/Κατάσταση</t>
        </is>
      </c>
      <c r="B12" s="76" t="n">
        <v>-0.02</v>
      </c>
      <c r="C12" s="76" t="n">
        <v>0.02</v>
      </c>
      <c r="D12" s="89" t="inlineStr">
        <is>
          <t>Per year difference</t>
        </is>
      </c>
      <c r="E12" s="95">
        <f>B12</f>
        <v/>
      </c>
    </row>
    <row r="13">
      <c r="A13" t="inlineStr">
        <is>
          <t>6. Floor Level / Όροφος</t>
        </is>
      </c>
      <c r="B13" s="76" t="n">
        <v>-0.15</v>
      </c>
      <c r="C13" s="76" t="n">
        <v>0.05</v>
      </c>
      <c r="D13" s="89" t="inlineStr">
        <is>
          <t>±2-3% per floor</t>
        </is>
      </c>
      <c r="E13" s="95">
        <f>(C13-B13)/1</f>
        <v/>
      </c>
    </row>
    <row r="14">
      <c r="A14" t="inlineStr">
        <is>
          <t>7. Size / Επιφάνεια</t>
        </is>
      </c>
      <c r="B14" s="76" t="n">
        <v>-0.1</v>
      </c>
      <c r="C14" s="76" t="n">
        <v>0.1</v>
      </c>
      <c r="D14" s="89" t="inlineStr">
        <is>
          <t>Smaller more marketable</t>
        </is>
      </c>
      <c r="E14" s="95">
        <f>(C14-B14)/100</f>
        <v/>
      </c>
    </row>
    <row r="15">
      <c r="A15" t="inlineStr">
        <is>
          <t>8. Light/Ventilation / Φωτισμός/Αερισμός</t>
        </is>
      </c>
      <c r="B15" s="76" t="n">
        <v>-0.15</v>
      </c>
      <c r="C15" s="76" t="n">
        <v>0.15</v>
      </c>
      <c r="D15" s="89" t="inlineStr">
        <is>
          <t>Corner/through/internal</t>
        </is>
      </c>
      <c r="E15" s="95">
        <f>(C15-B15)/4</f>
        <v/>
      </c>
    </row>
    <row r="16">
      <c r="A16" t="inlineStr">
        <is>
          <t>9. Amenities / Παροχές</t>
        </is>
      </c>
      <c r="B16" s="76" t="n">
        <v>-0.1</v>
      </c>
      <c r="C16" s="76" t="n">
        <v>0.1</v>
      </c>
      <c r="D16" s="89" t="inlineStr">
        <is>
          <t>Parking, storage, AC</t>
        </is>
      </c>
      <c r="E16" s="95">
        <f>(C16-B16)/4</f>
        <v/>
      </c>
    </row>
    <row r="17">
      <c r="A17" t="inlineStr">
        <is>
          <t>10. Time on Market / Χρόνος Αγοράς</t>
        </is>
      </c>
      <c r="B17" s="76" t="n">
        <v>-0.15</v>
      </c>
      <c r="C17" s="76" t="n">
        <v>0.05</v>
      </c>
      <c r="D17" s="89" t="inlineStr">
        <is>
          <t>Price reduction pressure</t>
        </is>
      </c>
      <c r="E17" s="95">
        <f>B17/12</f>
        <v/>
      </c>
    </row>
    <row r="19">
      <c r="A19" s="17" t="inlineStr">
        <is>
          <t>B. SUBJECT PROPERTY / ΕΚΤΙΜΩΜΕΝΟ ΑΚΙΝΗΤΟ</t>
        </is>
      </c>
    </row>
    <row r="21">
      <c r="A21" s="90" t="inlineStr">
        <is>
          <t>Characteristic / Χαρακτηριστικό</t>
        </is>
      </c>
      <c r="B21" s="90" t="inlineStr">
        <is>
          <t>Value</t>
        </is>
      </c>
    </row>
    <row r="22">
      <c r="A22" s="32" t="inlineStr">
        <is>
          <t>Transaction Type (A/S/O)</t>
        </is>
      </c>
      <c r="B22" s="2" t="inlineStr">
        <is>
          <t>S</t>
        </is>
      </c>
    </row>
    <row r="23">
      <c r="A23" s="32" t="inlineStr">
        <is>
          <t>Location Quality (1-5 scale)</t>
        </is>
      </c>
      <c r="B23" s="2" t="inlineStr">
        <is>
          <t>4</t>
        </is>
      </c>
    </row>
    <row r="24">
      <c r="A24" s="32" t="inlineStr">
        <is>
          <t>Access Quality (1-5 scale)</t>
        </is>
      </c>
      <c r="B24" s="2" t="inlineStr">
        <is>
          <t>4</t>
        </is>
      </c>
    </row>
    <row r="25">
      <c r="A25" s="32" t="inlineStr">
        <is>
          <t>View/Orientation Quality (1-5 scale)</t>
        </is>
      </c>
      <c r="B25" s="2" t="inlineStr">
        <is>
          <t>3</t>
        </is>
      </c>
    </row>
    <row r="26">
      <c r="A26" s="32" t="inlineStr">
        <is>
          <t>Age (years)</t>
        </is>
      </c>
      <c r="B26" s="4">
        <f>'3_PROPERTY_DESCRIPTION'!B22</f>
        <v/>
      </c>
    </row>
    <row r="27">
      <c r="A27" s="32" t="inlineStr">
        <is>
          <t>Floor Level</t>
        </is>
      </c>
      <c r="B27" s="4">
        <f>'3_PROPERTY_DESCRIPTION'!B24</f>
        <v/>
      </c>
    </row>
    <row r="28">
      <c r="A28" s="32" t="inlineStr">
        <is>
          <t>Weighted Area (m²)</t>
        </is>
      </c>
      <c r="B28" s="4">
        <f>'3_PROPERTY_DESCRIPTION'!D37</f>
        <v/>
      </c>
    </row>
    <row r="29">
      <c r="A29" s="32" t="inlineStr">
        <is>
          <t>Light/Ventilation (1-5 scale)</t>
        </is>
      </c>
      <c r="B29" s="2" t="inlineStr">
        <is>
          <t>4</t>
        </is>
      </c>
    </row>
    <row r="30">
      <c r="A30" s="32" t="inlineStr">
        <is>
          <t>Amenity Score (1-5 scale)</t>
        </is>
      </c>
      <c r="B30" s="2" t="inlineStr">
        <is>
          <t>3</t>
        </is>
      </c>
    </row>
    <row r="31">
      <c r="A31" s="32" t="inlineStr">
        <is>
          <t>Time on Market (months)</t>
        </is>
      </c>
      <c r="B31" s="2" t="inlineStr">
        <is>
          <t>0</t>
        </is>
      </c>
    </row>
    <row r="33">
      <c r="A33" s="17" t="inlineStr">
        <is>
          <t>C. COMPARABLES CHARACTERISTICS / ΧΑΡΑΚΤΗΡΙΣΤΙΚΑ ΣΥΓΚΡΙΤΙΚΩΝ</t>
        </is>
      </c>
    </row>
    <row r="35">
      <c r="A35" s="90" t="inlineStr">
        <is>
          <t>Characteristic</t>
        </is>
      </c>
      <c r="B35" s="90" t="inlineStr">
        <is>
          <t>Subject</t>
        </is>
      </c>
      <c r="C35" s="55" t="inlineStr">
        <is>
          <t>Comp 1</t>
        </is>
      </c>
      <c r="D35" s="55" t="inlineStr">
        <is>
          <t>Comp 2</t>
        </is>
      </c>
      <c r="E35" s="55" t="inlineStr">
        <is>
          <t>Comp 3</t>
        </is>
      </c>
      <c r="F35" s="55" t="inlineStr">
        <is>
          <t>Comp 4</t>
        </is>
      </c>
      <c r="G35" s="55" t="inlineStr">
        <is>
          <t>Comp 5</t>
        </is>
      </c>
    </row>
    <row r="36">
      <c r="A36" s="32" t="inlineStr">
        <is>
          <t>Original Price (€/m²)</t>
        </is>
      </c>
      <c r="B36" s="4">
        <f>B9</f>
        <v/>
      </c>
      <c r="C36" s="30" t="inlineStr"/>
      <c r="D36" s="30" t="inlineStr"/>
      <c r="E36" s="30" t="inlineStr"/>
      <c r="F36" s="30" t="inlineStr"/>
      <c r="G36" s="30" t="inlineStr"/>
    </row>
    <row r="37">
      <c r="A37" s="32" t="inlineStr">
        <is>
          <t>Transaction Type (A/S/O)</t>
        </is>
      </c>
      <c r="B37" s="4">
        <f>B22</f>
        <v/>
      </c>
      <c r="C37" s="2" t="inlineStr"/>
      <c r="D37" s="2" t="inlineStr"/>
      <c r="E37" s="2" t="inlineStr"/>
      <c r="F37" s="2" t="inlineStr"/>
      <c r="G37" s="2" t="inlineStr"/>
    </row>
    <row r="38">
      <c r="A38" s="32" t="inlineStr">
        <is>
          <t>Location Quality (1-5)</t>
        </is>
      </c>
      <c r="B38" s="4">
        <f>B23</f>
        <v/>
      </c>
      <c r="C38" s="2" t="inlineStr"/>
      <c r="D38" s="2" t="inlineStr"/>
      <c r="E38" s="2" t="inlineStr"/>
      <c r="F38" s="2" t="inlineStr"/>
      <c r="G38" s="2" t="inlineStr"/>
    </row>
    <row r="39">
      <c r="A39" s="32" t="inlineStr">
        <is>
          <t>Access Quality (1-5)</t>
        </is>
      </c>
      <c r="B39" s="4">
        <f>B24</f>
        <v/>
      </c>
      <c r="C39" s="2" t="inlineStr"/>
      <c r="D39" s="2" t="inlineStr"/>
      <c r="E39" s="2" t="inlineStr"/>
      <c r="F39" s="2" t="inlineStr"/>
      <c r="G39" s="2" t="inlineStr"/>
    </row>
    <row r="40">
      <c r="A40" s="32" t="inlineStr">
        <is>
          <t>View Quality (1-5)</t>
        </is>
      </c>
      <c r="B40" s="4">
        <f>B25</f>
        <v/>
      </c>
      <c r="C40" s="2" t="inlineStr"/>
      <c r="D40" s="2" t="inlineStr"/>
      <c r="E40" s="2" t="inlineStr"/>
      <c r="F40" s="2" t="inlineStr"/>
      <c r="G40" s="2" t="inlineStr"/>
    </row>
    <row r="41">
      <c r="A41" s="32" t="inlineStr">
        <is>
          <t>Age (years)</t>
        </is>
      </c>
      <c r="B41" s="4">
        <f>B26</f>
        <v/>
      </c>
      <c r="C41" s="2" t="inlineStr"/>
      <c r="D41" s="2" t="inlineStr"/>
      <c r="E41" s="2" t="inlineStr"/>
      <c r="F41" s="2" t="inlineStr"/>
      <c r="G41" s="2" t="inlineStr"/>
    </row>
    <row r="42">
      <c r="A42" s="32" t="inlineStr">
        <is>
          <t>Floor Level</t>
        </is>
      </c>
      <c r="B42" s="4">
        <f>B27</f>
        <v/>
      </c>
      <c r="C42" s="2" t="inlineStr"/>
      <c r="D42" s="2" t="inlineStr"/>
      <c r="E42" s="2" t="inlineStr"/>
      <c r="F42" s="2" t="inlineStr"/>
      <c r="G42" s="2" t="inlineStr"/>
    </row>
    <row r="43">
      <c r="A43" s="32" t="inlineStr">
        <is>
          <t>Weighted Area (m²)</t>
        </is>
      </c>
      <c r="B43" s="4">
        <f>B28</f>
        <v/>
      </c>
      <c r="C43" s="2" t="inlineStr"/>
      <c r="D43" s="2" t="inlineStr"/>
      <c r="E43" s="2" t="inlineStr"/>
      <c r="F43" s="2" t="inlineStr"/>
      <c r="G43" s="2" t="inlineStr"/>
    </row>
    <row r="44">
      <c r="A44" s="32" t="inlineStr">
        <is>
          <t>Light/Ventilation (1-5)</t>
        </is>
      </c>
      <c r="B44" s="4">
        <f>B29</f>
        <v/>
      </c>
      <c r="C44" s="2" t="inlineStr"/>
      <c r="D44" s="2" t="inlineStr"/>
      <c r="E44" s="2" t="inlineStr"/>
      <c r="F44" s="2" t="inlineStr"/>
      <c r="G44" s="2" t="inlineStr"/>
    </row>
    <row r="45">
      <c r="A45" s="32" t="inlineStr">
        <is>
          <t>Amenity Score (1-5)</t>
        </is>
      </c>
      <c r="B45" s="4">
        <f>B30</f>
        <v/>
      </c>
      <c r="C45" s="2" t="inlineStr"/>
      <c r="D45" s="2" t="inlineStr"/>
      <c r="E45" s="2" t="inlineStr"/>
      <c r="F45" s="2" t="inlineStr"/>
      <c r="G45" s="2" t="inlineStr"/>
    </row>
    <row r="46">
      <c r="A46" s="32" t="inlineStr">
        <is>
          <t>Months on Market</t>
        </is>
      </c>
      <c r="B46" s="4">
        <f>B31</f>
        <v/>
      </c>
      <c r="C46" s="2" t="inlineStr"/>
      <c r="D46" s="2" t="inlineStr"/>
      <c r="E46" s="2" t="inlineStr"/>
      <c r="F46" s="2" t="inlineStr"/>
      <c r="G46" s="2" t="inlineStr"/>
    </row>
    <row r="48">
      <c r="A48" s="17" t="inlineStr">
        <is>
          <t>D. CALCULATED ADJUSTMENTS / ΥΠΟΛΟΓΙΣΜΟΙ ΠΡΟΣΑΡΜΟΓΩΝ</t>
        </is>
      </c>
    </row>
    <row r="50">
      <c r="A50" s="90" t="inlineStr">
        <is>
          <t>Adjustment Factor</t>
        </is>
      </c>
      <c r="B50" s="90" t="inlineStr">
        <is>
          <t>Formula Method</t>
        </is>
      </c>
      <c r="C50" s="55" t="inlineStr">
        <is>
          <t>Comp 1</t>
        </is>
      </c>
      <c r="D50" s="55" t="inlineStr">
        <is>
          <t>Comp 2</t>
        </is>
      </c>
      <c r="E50" s="55" t="inlineStr">
        <is>
          <t>Comp 3</t>
        </is>
      </c>
      <c r="F50" s="55" t="inlineStr">
        <is>
          <t>Comp 4</t>
        </is>
      </c>
      <c r="G50" s="55" t="inlineStr">
        <is>
          <t>Comp 5</t>
        </is>
      </c>
    </row>
    <row r="51">
      <c r="A51" s="32" t="inlineStr">
        <is>
          <t>1. Transaction Type</t>
        </is>
      </c>
      <c r="B51" s="89" t="inlineStr">
        <is>
          <t>Asking=-15%, Offer=-7.5%, Sale=0%</t>
        </is>
      </c>
      <c r="C51" s="45">
        <f>IF(C37="A",$E$8,IF(C37="O",$E$8/2,0))</f>
        <v/>
      </c>
      <c r="D51" s="45">
        <f>IF(D37="A",$E$8,IF(D37="O",$E$8/2,0))</f>
        <v/>
      </c>
      <c r="E51" s="45">
        <f>IF(E37="A",$E$8,IF(E37="O",$E$8/2,0))</f>
        <v/>
      </c>
      <c r="F51" s="45">
        <f>IF(F37="A",$E$8,IF(F37="O",$E$8/2,0))</f>
        <v/>
      </c>
      <c r="G51" s="45">
        <f>IF(G37="A",$E$8,IF(G37="O",$E$8/2,0))</f>
        <v/>
      </c>
    </row>
    <row r="52">
      <c r="A52" s="32" t="inlineStr">
        <is>
          <t>2. Location/Marketability</t>
        </is>
      </c>
      <c r="B52" s="89" t="inlineStr">
        <is>
          <t>Scale 1-5: ±5% per point</t>
        </is>
      </c>
      <c r="C52" s="45">
        <f>($B$38-C38)*$E$9</f>
        <v/>
      </c>
      <c r="D52" s="45">
        <f>($B$38-D38)*$E$9</f>
        <v/>
      </c>
      <c r="E52" s="45">
        <f>($B$38-E38)*$E$9</f>
        <v/>
      </c>
      <c r="F52" s="45">
        <f>($B$38-F38)*$E$9</f>
        <v/>
      </c>
      <c r="G52" s="45">
        <f>($B$38-G38)*$E$9</f>
        <v/>
      </c>
    </row>
    <row r="53">
      <c r="A53" s="32" t="inlineStr">
        <is>
          <t>3. Access</t>
        </is>
      </c>
      <c r="B53" s="89" t="inlineStr">
        <is>
          <t>Scale 1-5: ±2.5% per point</t>
        </is>
      </c>
      <c r="C53" s="45">
        <f>($B$39-C39)*$E$10</f>
        <v/>
      </c>
      <c r="D53" s="45">
        <f>($B$39-D39)*$E$10</f>
        <v/>
      </c>
      <c r="E53" s="45">
        <f>($B$39-E39)*$E$10</f>
        <v/>
      </c>
      <c r="F53" s="45">
        <f>($B$39-F39)*$E$10</f>
        <v/>
      </c>
      <c r="G53" s="45">
        <f>($B$39-G39)*$E$10</f>
        <v/>
      </c>
    </row>
    <row r="54">
      <c r="A54" s="32" t="inlineStr">
        <is>
          <t>4. Views/Orientation</t>
        </is>
      </c>
      <c r="B54" s="89" t="inlineStr">
        <is>
          <t>Scale 1-5: ±3.75% per point</t>
        </is>
      </c>
      <c r="C54" s="45">
        <f>($B$40-C40)*$E$11</f>
        <v/>
      </c>
      <c r="D54" s="45">
        <f>($B$40-D40)*$E$11</f>
        <v/>
      </c>
      <c r="E54" s="45">
        <f>($B$40-E40)*$E$11</f>
        <v/>
      </c>
      <c r="F54" s="45">
        <f>($B$40-F40)*$E$11</f>
        <v/>
      </c>
      <c r="G54" s="45">
        <f>($B$40-G40)*$E$11</f>
        <v/>
      </c>
    </row>
    <row r="55">
      <c r="A55" s="32" t="inlineStr">
        <is>
          <t>5. Age/Condition</t>
        </is>
      </c>
      <c r="B55" s="89" t="inlineStr">
        <is>
          <t>±1.5% per year (ΣΕΚΕ composite)</t>
        </is>
      </c>
      <c r="C55" s="45">
        <f>($B$41-C41)*$E$12</f>
        <v/>
      </c>
      <c r="D55" s="45">
        <f>($B$41-D41)*$E$12</f>
        <v/>
      </c>
      <c r="E55" s="45">
        <f>($B$41-E41)*$E$12</f>
        <v/>
      </c>
      <c r="F55" s="45">
        <f>($B$41-F41)*$E$12</f>
        <v/>
      </c>
      <c r="G55" s="45">
        <f>($B$41-G41)*$E$12</f>
        <v/>
      </c>
    </row>
    <row r="56">
      <c r="A56" s="32" t="inlineStr">
        <is>
          <t>6. Floor Level</t>
        </is>
      </c>
      <c r="B56" s="89" t="inlineStr">
        <is>
          <t>Floor diff × per-floor rate from table</t>
        </is>
      </c>
      <c r="C56" s="45">
        <f>($B$42-C42)*$E$13/ABS($C$13-$B$13)*($C$13-$B$13)</f>
        <v/>
      </c>
      <c r="D56" s="45">
        <f>($B$42-D42)*$E$13/ABS($D$13-$B$13)*($D$13-$B$13)</f>
        <v/>
      </c>
      <c r="E56" s="45">
        <f>($B$42-E42)*$E$13/ABS($E$13-$B$13)*($E$13-$B$13)</f>
        <v/>
      </c>
      <c r="F56" s="45">
        <f>($B$42-F42)*$E$13/ABS($F$13-$B$13)*($F$13-$B$13)</f>
        <v/>
      </c>
      <c r="G56" s="45">
        <f>($B$42-G42)*$E$13/ABS($G$13-$B$13)*($G$13-$B$13)</f>
        <v/>
      </c>
    </row>
    <row r="57">
      <c r="A57" s="32" t="inlineStr">
        <is>
          <t>7. Size</t>
        </is>
      </c>
      <c r="B57" s="89" t="inlineStr">
        <is>
          <t>Area diff × per-m² rate from table</t>
        </is>
      </c>
      <c r="C57" s="45">
        <f>IF($B$43&gt;C43,($B$43-C43)*$E$14,($B$43-C43)*$E$14)</f>
        <v/>
      </c>
      <c r="D57" s="45">
        <f>IF($B$43&gt;D43,($B$43-D43)*$E$14,($B$43-D43)*$E$14)</f>
        <v/>
      </c>
      <c r="E57" s="45">
        <f>IF($B$43&gt;E43,($B$43-E43)*$E$14,($B$43-E43)*$E$14)</f>
        <v/>
      </c>
      <c r="F57" s="45">
        <f>IF($B$43&gt;F43,($B$43-F43)*$E$14,($B$43-F43)*$E$14)</f>
        <v/>
      </c>
      <c r="G57" s="45">
        <f>IF($B$43&gt;G43,($B$43-G43)*$E$14,($B$43-G43)*$E$14)</f>
        <v/>
      </c>
    </row>
    <row r="58">
      <c r="A58" s="32" t="inlineStr">
        <is>
          <t>8. Light/Ventilation</t>
        </is>
      </c>
      <c r="B58" s="89" t="inlineStr">
        <is>
          <t>Scale 1-5: ±3.75% per point</t>
        </is>
      </c>
      <c r="C58" s="45">
        <f>($B$44-C44)*$E$15</f>
        <v/>
      </c>
      <c r="D58" s="45">
        <f>($B$44-D44)*$E$15</f>
        <v/>
      </c>
      <c r="E58" s="45">
        <f>($B$44-E44)*$E$15</f>
        <v/>
      </c>
      <c r="F58" s="45">
        <f>($B$44-F44)*$E$15</f>
        <v/>
      </c>
      <c r="G58" s="45">
        <f>($B$44-G44)*$E$15</f>
        <v/>
      </c>
    </row>
    <row r="59">
      <c r="A59" s="32" t="inlineStr">
        <is>
          <t>9. Amenities</t>
        </is>
      </c>
      <c r="B59" s="89" t="inlineStr">
        <is>
          <t>Scale 1-5: ±2.5% per point</t>
        </is>
      </c>
      <c r="C59" s="45">
        <f>($B$45-C45)*$E$16</f>
        <v/>
      </c>
      <c r="D59" s="45">
        <f>($B$45-D45)*$E$16</f>
        <v/>
      </c>
      <c r="E59" s="45">
        <f>($B$45-E45)*$E$16</f>
        <v/>
      </c>
      <c r="F59" s="45">
        <f>($B$45-F45)*$E$16</f>
        <v/>
      </c>
      <c r="G59" s="45">
        <f>($B$45-G45)*$E$16</f>
        <v/>
      </c>
    </row>
    <row r="60">
      <c r="A60" s="32" t="inlineStr">
        <is>
          <t>10. Time on Market</t>
        </is>
      </c>
      <c r="B60" s="89" t="inlineStr">
        <is>
          <t>-1%/month pressure after 6mo</t>
        </is>
      </c>
      <c r="C60" s="45">
        <f>IF(C46&gt;6,(C46-6)*$E$17,0)</f>
        <v/>
      </c>
      <c r="D60" s="45">
        <f>IF(D46&gt;6,(D46-6)*$E$17,0)</f>
        <v/>
      </c>
      <c r="E60" s="45">
        <f>IF(E46&gt;6,(E46-6)*$E$17,0)</f>
        <v/>
      </c>
      <c r="F60" s="45">
        <f>IF(F46&gt;6,(F46-6)*$E$17,0)</f>
        <v/>
      </c>
      <c r="G60" s="45">
        <f>IF(G46&gt;6,(G46-6)*$E$17,0)</f>
        <v/>
      </c>
    </row>
    <row r="62">
      <c r="A62" s="8" t="inlineStr">
        <is>
          <t>TOTAL ADJUSTMENT / ΣΥΝΟΛΟ:</t>
        </is>
      </c>
      <c r="C62" s="91">
        <f>SUM(C51:C60)</f>
        <v/>
      </c>
      <c r="D62" s="91">
        <f>SUM(D51:D60)</f>
        <v/>
      </c>
      <c r="E62" s="91">
        <f>SUM(E51:E60)</f>
        <v/>
      </c>
      <c r="F62" s="91">
        <f>SUM(F51:F60)</f>
        <v/>
      </c>
      <c r="G62" s="91">
        <f>SUM(G51:G60)</f>
        <v/>
      </c>
    </row>
    <row r="64">
      <c r="A64" s="8" t="inlineStr">
        <is>
          <t>Adjusted Price (€/m²):</t>
        </is>
      </c>
      <c r="C64" s="92">
        <f>C36*(1+C62)</f>
        <v/>
      </c>
      <c r="D64" s="92">
        <f>D36*(1+D62)</f>
        <v/>
      </c>
      <c r="E64" s="92">
        <f>E36*(1+E62)</f>
        <v/>
      </c>
      <c r="F64" s="92">
        <f>F36*(1+F62)</f>
        <v/>
      </c>
      <c r="G64" s="92">
        <f>G36*(1+G62)</f>
        <v/>
      </c>
    </row>
    <row r="66">
      <c r="A66" s="17" t="inlineStr">
        <is>
          <t>E. WEIGHTING &amp; VALUE / ΣΤΑΘΜΙΣΗ &amp; ΑΞΙΑ</t>
        </is>
      </c>
    </row>
    <row r="68">
      <c r="A68" t="inlineStr">
        <is>
          <t>Weight % (must sum to 100%):</t>
        </is>
      </c>
      <c r="C68" s="59" t="inlineStr">
        <is>
          <t>20%</t>
        </is>
      </c>
      <c r="D68" s="59" t="inlineStr">
        <is>
          <t>20%</t>
        </is>
      </c>
      <c r="E68" s="59" t="inlineStr">
        <is>
          <t>20%</t>
        </is>
      </c>
      <c r="F68" s="59" t="inlineStr">
        <is>
          <t>20%</t>
        </is>
      </c>
      <c r="G68" s="59" t="inlineStr">
        <is>
          <t>20%</t>
        </is>
      </c>
    </row>
    <row r="69">
      <c r="A69" t="inlineStr">
        <is>
          <t>Weight Check:</t>
        </is>
      </c>
      <c r="C69" s="60">
        <f>SUM(C68:G68)</f>
        <v/>
      </c>
    </row>
    <row r="71">
      <c r="A71" s="47" t="inlineStr">
        <is>
          <t>WEIGHTED AVERAGE PRICE (€/m²):</t>
        </is>
      </c>
      <c r="C71" s="93">
        <f>SUMPRODUCT(C64:G64,C68:G68)</f>
        <v/>
      </c>
    </row>
    <row r="73">
      <c r="A73" t="inlineStr">
        <is>
          <t>Subject Weighted Area (m²):</t>
        </is>
      </c>
      <c r="C73" s="20">
        <f>'3_PROPERTY_DESCRIPTION'!D37</f>
        <v/>
      </c>
    </row>
    <row r="75">
      <c r="A75" s="6" t="inlineStr">
        <is>
          <t>MARKET VALUE (Comparative Method):</t>
        </is>
      </c>
      <c r="C75" s="61">
        <f>C71*C73</f>
        <v/>
      </c>
    </row>
    <row r="77">
      <c r="A77" s="94" t="inlineStr">
        <is>
          <t>NOTE: All adjustments calculated from ΣΕΚΕ 2018 reference ranges.</t>
        </is>
      </c>
    </row>
    <row r="78">
      <c r="A78" s="94" t="inlineStr">
        <is>
          <t>No hardcoded values - all formulas reference the adjustment factors table.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2" customWidth="1" min="14" max="14"/>
    <col width="12" customWidth="1" min="15" max="15"/>
    <col width="25" customWidth="1" min="16" max="16"/>
  </cols>
  <sheetData>
    <row r="1">
      <c r="A1" s="1" t="inlineStr">
        <is>
          <t>COMPARABLES DATABASE / ΒΑΣΗ ΣΥΓΚΡΙΤΙΚΩΝ ΣΤΟΙΧΕΙΩΝ</t>
        </is>
      </c>
    </row>
    <row r="3" ht="30" customHeight="1">
      <c r="A3" s="33" t="inlineStr">
        <is>
          <t>#</t>
        </is>
      </c>
      <c r="B3" s="33" t="inlineStr">
        <is>
          <t>Address/Location
Διεύθυνση</t>
        </is>
      </c>
      <c r="C3" s="33" t="inlineStr">
        <is>
          <t>Asking Price
Ζητούμενη (€)</t>
        </is>
      </c>
      <c r="D3" s="33" t="inlineStr">
        <is>
          <t>Type
Τύπος</t>
        </is>
      </c>
      <c r="E3" s="33" t="inlineStr">
        <is>
          <t>Date
Ημερ.</t>
        </is>
      </c>
      <c r="F3" s="33" t="inlineStr">
        <is>
          <t>Main
Κύριος</t>
        </is>
      </c>
      <c r="G3" s="33" t="inlineStr">
        <is>
          <t>Attic
Σοφίτα</t>
        </is>
      </c>
      <c r="H3" s="33" t="inlineStr">
        <is>
          <t>Bsmt
Υπόγ.</t>
        </is>
      </c>
      <c r="I3" s="33" t="inlineStr">
        <is>
          <t>Semi-B
Ημιυπ.</t>
        </is>
      </c>
      <c r="J3" s="33" t="inlineStr">
        <is>
          <t>Balcony
Βεράντα</t>
        </is>
      </c>
      <c r="K3" s="33" t="inlineStr">
        <is>
          <t>Floor
Όροφος</t>
        </is>
      </c>
      <c r="L3" s="33" t="inlineStr">
        <is>
          <t>Year
Έτος</t>
        </is>
      </c>
      <c r="M3" s="33" t="inlineStr">
        <is>
          <t>Cond.
Κατ.</t>
        </is>
      </c>
      <c r="N3" s="33" t="inlineStr">
        <is>
          <t>Weighted m²
Ανηγμένη</t>
        </is>
      </c>
      <c r="O3" s="33" t="inlineStr">
        <is>
          <t>€/m²</t>
        </is>
      </c>
      <c r="P3" s="33" t="inlineStr">
        <is>
          <t>Source
Πηγή</t>
        </is>
      </c>
    </row>
    <row r="4">
      <c r="A4" s="34" t="n">
        <v>1</v>
      </c>
      <c r="B4" s="2" t="inlineStr"/>
      <c r="C4" s="35" t="inlineStr"/>
      <c r="D4" s="2" t="inlineStr">
        <is>
          <t>A</t>
        </is>
      </c>
      <c r="E4" s="3" t="inlineStr"/>
      <c r="F4" s="36" t="inlineStr"/>
      <c r="G4" s="36" t="inlineStr"/>
      <c r="H4" s="36" t="inlineStr"/>
      <c r="I4" s="36" t="inlineStr"/>
      <c r="J4" s="36" t="inlineStr"/>
      <c r="K4" s="2" t="inlineStr"/>
      <c r="L4" s="2" t="inlineStr"/>
      <c r="M4" s="2" t="inlineStr"/>
      <c r="N4" s="37">
        <f>F4*1.0 + G4*0.35 + H4*0.20 + I4*0.50 + J4*0.50</f>
        <v/>
      </c>
      <c r="O4" s="38">
        <f>IF(N4&gt;0, C4/N4, 0)</f>
        <v/>
      </c>
      <c r="P4" s="2" t="inlineStr"/>
    </row>
    <row r="5">
      <c r="A5" s="34" t="n">
        <v>2</v>
      </c>
      <c r="B5" s="2" t="inlineStr"/>
      <c r="C5" s="35" t="inlineStr"/>
      <c r="D5" s="2" t="inlineStr">
        <is>
          <t>A</t>
        </is>
      </c>
      <c r="E5" s="3" t="inlineStr"/>
      <c r="F5" s="36" t="inlineStr"/>
      <c r="G5" s="36" t="inlineStr"/>
      <c r="H5" s="36" t="inlineStr"/>
      <c r="I5" s="36" t="inlineStr"/>
      <c r="J5" s="36" t="inlineStr"/>
      <c r="K5" s="2" t="inlineStr"/>
      <c r="L5" s="2" t="inlineStr"/>
      <c r="M5" s="2" t="inlineStr"/>
      <c r="N5" s="37">
        <f>F5*1.0 + G5*0.35 + H5*0.20 + I5*0.50 + J5*0.50</f>
        <v/>
      </c>
      <c r="O5" s="38">
        <f>IF(N5&gt;0, C5/N5, 0)</f>
        <v/>
      </c>
      <c r="P5" s="2" t="inlineStr"/>
    </row>
    <row r="6">
      <c r="A6" s="34" t="n">
        <v>3</v>
      </c>
      <c r="B6" s="2" t="inlineStr"/>
      <c r="C6" s="35" t="inlineStr"/>
      <c r="D6" s="2" t="inlineStr">
        <is>
          <t>A</t>
        </is>
      </c>
      <c r="E6" s="3" t="inlineStr"/>
      <c r="F6" s="36" t="inlineStr"/>
      <c r="G6" s="36" t="inlineStr"/>
      <c r="H6" s="36" t="inlineStr"/>
      <c r="I6" s="36" t="inlineStr"/>
      <c r="J6" s="36" t="inlineStr"/>
      <c r="K6" s="2" t="inlineStr"/>
      <c r="L6" s="2" t="inlineStr"/>
      <c r="M6" s="2" t="inlineStr"/>
      <c r="N6" s="37">
        <f>F6*1.0 + G6*0.35 + H6*0.20 + I6*0.50 + J6*0.50</f>
        <v/>
      </c>
      <c r="O6" s="38">
        <f>IF(N6&gt;0, C6/N6, 0)</f>
        <v/>
      </c>
      <c r="P6" s="2" t="inlineStr"/>
    </row>
    <row r="7">
      <c r="A7" s="34" t="n">
        <v>4</v>
      </c>
      <c r="B7" s="2" t="inlineStr"/>
      <c r="C7" s="35" t="inlineStr"/>
      <c r="D7" s="2" t="inlineStr">
        <is>
          <t>A</t>
        </is>
      </c>
      <c r="E7" s="3" t="inlineStr"/>
      <c r="F7" s="36" t="inlineStr"/>
      <c r="G7" s="36" t="inlineStr"/>
      <c r="H7" s="36" t="inlineStr"/>
      <c r="I7" s="36" t="inlineStr"/>
      <c r="J7" s="36" t="inlineStr"/>
      <c r="K7" s="2" t="inlineStr"/>
      <c r="L7" s="2" t="inlineStr"/>
      <c r="M7" s="2" t="inlineStr"/>
      <c r="N7" s="37">
        <f>F7*1.0 + G7*0.35 + H7*0.20 + I7*0.50 + J7*0.50</f>
        <v/>
      </c>
      <c r="O7" s="38">
        <f>IF(N7&gt;0, C7/N7, 0)</f>
        <v/>
      </c>
      <c r="P7" s="2" t="inlineStr"/>
    </row>
    <row r="8">
      <c r="A8" s="34" t="n">
        <v>5</v>
      </c>
      <c r="B8" s="2" t="inlineStr"/>
      <c r="C8" s="35" t="inlineStr"/>
      <c r="D8" s="2" t="inlineStr">
        <is>
          <t>A</t>
        </is>
      </c>
      <c r="E8" s="3" t="inlineStr"/>
      <c r="F8" s="36" t="inlineStr"/>
      <c r="G8" s="36" t="inlineStr"/>
      <c r="H8" s="36" t="inlineStr"/>
      <c r="I8" s="36" t="inlineStr"/>
      <c r="J8" s="36" t="inlineStr"/>
      <c r="K8" s="2" t="inlineStr"/>
      <c r="L8" s="2" t="inlineStr"/>
      <c r="M8" s="2" t="inlineStr"/>
      <c r="N8" s="37">
        <f>F8*1.0 + G8*0.35 + H8*0.20 + I8*0.50 + J8*0.50</f>
        <v/>
      </c>
      <c r="O8" s="38">
        <f>IF(N8&gt;0, C8/N8, 0)</f>
        <v/>
      </c>
      <c r="P8" s="2" t="inlineStr"/>
    </row>
    <row r="9">
      <c r="A9" s="34" t="n">
        <v>6</v>
      </c>
      <c r="B9" s="2" t="inlineStr"/>
      <c r="C9" s="35" t="inlineStr"/>
      <c r="D9" s="2" t="inlineStr">
        <is>
          <t>A</t>
        </is>
      </c>
      <c r="E9" s="3" t="inlineStr"/>
      <c r="F9" s="36" t="inlineStr"/>
      <c r="G9" s="36" t="inlineStr"/>
      <c r="H9" s="36" t="inlineStr"/>
      <c r="I9" s="36" t="inlineStr"/>
      <c r="J9" s="36" t="inlineStr"/>
      <c r="K9" s="2" t="inlineStr"/>
      <c r="L9" s="2" t="inlineStr"/>
      <c r="M9" s="2" t="inlineStr"/>
      <c r="N9" s="37">
        <f>F9*1.0 + G9*0.35 + H9*0.20 + I9*0.50 + J9*0.50</f>
        <v/>
      </c>
      <c r="O9" s="38">
        <f>IF(N9&gt;0, C9/N9, 0)</f>
        <v/>
      </c>
      <c r="P9" s="2" t="inlineStr"/>
    </row>
    <row r="10">
      <c r="A10" s="34" t="n">
        <v>7</v>
      </c>
      <c r="B10" s="2" t="inlineStr"/>
      <c r="C10" s="35" t="inlineStr"/>
      <c r="D10" s="2" t="inlineStr">
        <is>
          <t>A</t>
        </is>
      </c>
      <c r="E10" s="3" t="inlineStr"/>
      <c r="F10" s="36" t="inlineStr"/>
      <c r="G10" s="36" t="inlineStr"/>
      <c r="H10" s="36" t="inlineStr"/>
      <c r="I10" s="36" t="inlineStr"/>
      <c r="J10" s="36" t="inlineStr"/>
      <c r="K10" s="2" t="inlineStr"/>
      <c r="L10" s="2" t="inlineStr"/>
      <c r="M10" s="2" t="inlineStr"/>
      <c r="N10" s="37">
        <f>F10*1.0 + G10*0.35 + H10*0.20 + I10*0.50 + J10*0.50</f>
        <v/>
      </c>
      <c r="O10" s="38">
        <f>IF(N10&gt;0, C10/N10, 0)</f>
        <v/>
      </c>
      <c r="P10" s="2" t="inlineStr"/>
    </row>
    <row r="11">
      <c r="A11" s="34" t="n">
        <v>8</v>
      </c>
      <c r="B11" s="2" t="inlineStr"/>
      <c r="C11" s="35" t="inlineStr"/>
      <c r="D11" s="2" t="inlineStr">
        <is>
          <t>A</t>
        </is>
      </c>
      <c r="E11" s="3" t="inlineStr"/>
      <c r="F11" s="36" t="inlineStr"/>
      <c r="G11" s="36" t="inlineStr"/>
      <c r="H11" s="36" t="inlineStr"/>
      <c r="I11" s="36" t="inlineStr"/>
      <c r="J11" s="36" t="inlineStr"/>
      <c r="K11" s="2" t="inlineStr"/>
      <c r="L11" s="2" t="inlineStr"/>
      <c r="M11" s="2" t="inlineStr"/>
      <c r="N11" s="37">
        <f>F11*1.0 + G11*0.35 + H11*0.20 + I11*0.50 + J11*0.50</f>
        <v/>
      </c>
      <c r="O11" s="38">
        <f>IF(N11&gt;0, C11/N11, 0)</f>
        <v/>
      </c>
      <c r="P11" s="2" t="inlineStr"/>
    </row>
    <row r="12">
      <c r="A12" s="34" t="n">
        <v>9</v>
      </c>
      <c r="B12" s="2" t="inlineStr"/>
      <c r="C12" s="35" t="inlineStr"/>
      <c r="D12" s="2" t="inlineStr">
        <is>
          <t>A</t>
        </is>
      </c>
      <c r="E12" s="3" t="inlineStr"/>
      <c r="F12" s="36" t="inlineStr"/>
      <c r="G12" s="36" t="inlineStr"/>
      <c r="H12" s="36" t="inlineStr"/>
      <c r="I12" s="36" t="inlineStr"/>
      <c r="J12" s="36" t="inlineStr"/>
      <c r="K12" s="2" t="inlineStr"/>
      <c r="L12" s="2" t="inlineStr"/>
      <c r="M12" s="2" t="inlineStr"/>
      <c r="N12" s="37">
        <f>F12*1.0 + G12*0.35 + H12*0.20 + I12*0.50 + J12*0.50</f>
        <v/>
      </c>
      <c r="O12" s="38">
        <f>IF(N12&gt;0, C12/N12, 0)</f>
        <v/>
      </c>
      <c r="P12" s="2" t="inlineStr"/>
    </row>
    <row r="13">
      <c r="A13" s="34" t="n">
        <v>10</v>
      </c>
      <c r="B13" s="2" t="inlineStr"/>
      <c r="C13" s="35" t="inlineStr"/>
      <c r="D13" s="2" t="inlineStr">
        <is>
          <t>A</t>
        </is>
      </c>
      <c r="E13" s="3" t="inlineStr"/>
      <c r="F13" s="36" t="inlineStr"/>
      <c r="G13" s="36" t="inlineStr"/>
      <c r="H13" s="36" t="inlineStr"/>
      <c r="I13" s="36" t="inlineStr"/>
      <c r="J13" s="36" t="inlineStr"/>
      <c r="K13" s="2" t="inlineStr"/>
      <c r="L13" s="2" t="inlineStr"/>
      <c r="M13" s="2" t="inlineStr"/>
      <c r="N13" s="37">
        <f>F13*1.0 + G13*0.35 + H13*0.20 + I13*0.50 + J13*0.50</f>
        <v/>
      </c>
      <c r="O13" s="38">
        <f>IF(N13&gt;0, C13/N13, 0)</f>
        <v/>
      </c>
      <c r="P13" s="2" t="inlineStr"/>
    </row>
    <row r="14">
      <c r="A14" s="34" t="n">
        <v>11</v>
      </c>
      <c r="B14" s="2" t="inlineStr"/>
      <c r="C14" s="35" t="inlineStr"/>
      <c r="D14" s="2" t="inlineStr">
        <is>
          <t>A</t>
        </is>
      </c>
      <c r="E14" s="3" t="inlineStr"/>
      <c r="F14" s="36" t="inlineStr"/>
      <c r="G14" s="36" t="inlineStr"/>
      <c r="H14" s="36" t="inlineStr"/>
      <c r="I14" s="36" t="inlineStr"/>
      <c r="J14" s="36" t="inlineStr"/>
      <c r="K14" s="2" t="inlineStr"/>
      <c r="L14" s="2" t="inlineStr"/>
      <c r="M14" s="2" t="inlineStr"/>
      <c r="N14" s="37">
        <f>F14*1.0 + G14*0.35 + H14*0.20 + I14*0.50 + J14*0.50</f>
        <v/>
      </c>
      <c r="O14" s="38">
        <f>IF(N14&gt;0, C14/N14, 0)</f>
        <v/>
      </c>
      <c r="P14" s="2" t="inlineStr"/>
    </row>
    <row r="15">
      <c r="A15" s="34" t="n">
        <v>12</v>
      </c>
      <c r="B15" s="2" t="inlineStr"/>
      <c r="C15" s="35" t="inlineStr"/>
      <c r="D15" s="2" t="inlineStr">
        <is>
          <t>A</t>
        </is>
      </c>
      <c r="E15" s="3" t="inlineStr"/>
      <c r="F15" s="36" t="inlineStr"/>
      <c r="G15" s="36" t="inlineStr"/>
      <c r="H15" s="36" t="inlineStr"/>
      <c r="I15" s="36" t="inlineStr"/>
      <c r="J15" s="36" t="inlineStr"/>
      <c r="K15" s="2" t="inlineStr"/>
      <c r="L15" s="2" t="inlineStr"/>
      <c r="M15" s="2" t="inlineStr"/>
      <c r="N15" s="37">
        <f>F15*1.0 + G15*0.35 + H15*0.20 + I15*0.50 + J15*0.50</f>
        <v/>
      </c>
      <c r="O15" s="38">
        <f>IF(N15&gt;0, C15/N15, 0)</f>
        <v/>
      </c>
      <c r="P15" s="2" t="inlineStr"/>
    </row>
    <row r="16">
      <c r="A16" s="34" t="n">
        <v>13</v>
      </c>
      <c r="B16" s="2" t="inlineStr"/>
      <c r="C16" s="35" t="inlineStr"/>
      <c r="D16" s="2" t="inlineStr">
        <is>
          <t>A</t>
        </is>
      </c>
      <c r="E16" s="3" t="inlineStr"/>
      <c r="F16" s="36" t="inlineStr"/>
      <c r="G16" s="36" t="inlineStr"/>
      <c r="H16" s="36" t="inlineStr"/>
      <c r="I16" s="36" t="inlineStr"/>
      <c r="J16" s="36" t="inlineStr"/>
      <c r="K16" s="2" t="inlineStr"/>
      <c r="L16" s="2" t="inlineStr"/>
      <c r="M16" s="2" t="inlineStr"/>
      <c r="N16" s="37">
        <f>F16*1.0 + G16*0.35 + H16*0.20 + I16*0.50 + J16*0.50</f>
        <v/>
      </c>
      <c r="O16" s="38">
        <f>IF(N16&gt;0, C16/N16, 0)</f>
        <v/>
      </c>
      <c r="P16" s="2" t="inlineStr"/>
    </row>
    <row r="17">
      <c r="A17" s="34" t="n">
        <v>14</v>
      </c>
      <c r="B17" s="2" t="inlineStr"/>
      <c r="C17" s="35" t="inlineStr"/>
      <c r="D17" s="2" t="inlineStr">
        <is>
          <t>A</t>
        </is>
      </c>
      <c r="E17" s="3" t="inlineStr"/>
      <c r="F17" s="36" t="inlineStr"/>
      <c r="G17" s="36" t="inlineStr"/>
      <c r="H17" s="36" t="inlineStr"/>
      <c r="I17" s="36" t="inlineStr"/>
      <c r="J17" s="36" t="inlineStr"/>
      <c r="K17" s="2" t="inlineStr"/>
      <c r="L17" s="2" t="inlineStr"/>
      <c r="M17" s="2" t="inlineStr"/>
      <c r="N17" s="37">
        <f>F17*1.0 + G17*0.35 + H17*0.20 + I17*0.50 + J17*0.50</f>
        <v/>
      </c>
      <c r="O17" s="38">
        <f>IF(N17&gt;0, C17/N17, 0)</f>
        <v/>
      </c>
      <c r="P17" s="2" t="inlineStr"/>
    </row>
    <row r="18">
      <c r="A18" s="34" t="n">
        <v>15</v>
      </c>
      <c r="B18" s="2" t="inlineStr"/>
      <c r="C18" s="35" t="inlineStr"/>
      <c r="D18" s="2" t="inlineStr">
        <is>
          <t>A</t>
        </is>
      </c>
      <c r="E18" s="3" t="inlineStr"/>
      <c r="F18" s="36" t="inlineStr"/>
      <c r="G18" s="36" t="inlineStr"/>
      <c r="H18" s="36" t="inlineStr"/>
      <c r="I18" s="36" t="inlineStr"/>
      <c r="J18" s="36" t="inlineStr"/>
      <c r="K18" s="2" t="inlineStr"/>
      <c r="L18" s="2" t="inlineStr"/>
      <c r="M18" s="2" t="inlineStr"/>
      <c r="N18" s="37">
        <f>F18*1.0 + G18*0.35 + H18*0.20 + I18*0.50 + J18*0.50</f>
        <v/>
      </c>
      <c r="O18" s="38">
        <f>IF(N18&gt;0, C18/N18, 0)</f>
        <v/>
      </c>
      <c r="P18" s="2" t="inlineStr"/>
    </row>
    <row r="20">
      <c r="A20" s="39" t="inlineStr">
        <is>
          <t>STATISTICS / ΣΤΑΤΙΣΤΙΚΑ:</t>
        </is>
      </c>
    </row>
    <row r="21">
      <c r="A21" t="inlineStr">
        <is>
          <t>Count:</t>
        </is>
      </c>
      <c r="B21" s="4">
        <f>COUNTA(O4:O18)</f>
        <v/>
      </c>
    </row>
    <row r="22">
      <c r="A22" t="inlineStr">
        <is>
          <t>Min €/m²:</t>
        </is>
      </c>
      <c r="B22" s="38">
        <f>MIN(O4:O18)</f>
        <v/>
      </c>
    </row>
    <row r="23">
      <c r="A23" t="inlineStr">
        <is>
          <t>Max €/m²:</t>
        </is>
      </c>
      <c r="B23" s="38">
        <f>MAX(O4:O18)</f>
        <v/>
      </c>
    </row>
    <row r="24">
      <c r="A24" t="inlineStr">
        <is>
          <t>Average €/m²:</t>
        </is>
      </c>
      <c r="B24" s="38">
        <f>AVERAGE(O4:O18)</f>
        <v/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INCOME CAPITALIZATION METHOD / ΜΕΘΟΔΟΣ ΕΙΣΟΔΗΜΑΤΟΣ (DCF)</t>
        </is>
      </c>
    </row>
    <row r="3">
      <c r="A3" s="27" t="inlineStr">
        <is>
          <t>Greek institutional practice: 10-year holding period, exit value via cap rate</t>
        </is>
      </c>
    </row>
    <row r="5">
      <c r="A5" s="17" t="inlineStr">
        <is>
          <t>A. MARKET RENTAL VALUE / ΕΜΠΟΡΙΚΟ ΕΝΟΙΚΙΟ</t>
        </is>
      </c>
    </row>
    <row r="7">
      <c r="A7" t="inlineStr">
        <is>
          <t>Estimated Market Rent (€/m²/month):</t>
        </is>
      </c>
      <c r="B7" s="31" t="inlineStr"/>
    </row>
    <row r="8">
      <c r="A8" t="inlineStr">
        <is>
          <t>Rentable Area (m²):</t>
        </is>
      </c>
      <c r="B8" s="20">
        <f>'3_PROPERTY_DESCRIPTION'!D37</f>
        <v/>
      </c>
    </row>
    <row r="9">
      <c r="A9" t="inlineStr">
        <is>
          <t>Annual Gross Rent / Ετήσιο Ακαθάριστο:</t>
        </is>
      </c>
      <c r="B9" s="49">
        <f>B7*B8*12</f>
        <v/>
      </c>
    </row>
    <row r="11">
      <c r="A11" s="17" t="inlineStr">
        <is>
          <t>B. OPERATING EXPENSES / ΛΕΙΤΟΥΡΓΙΚΑ ΕΞΟΔΑ</t>
        </is>
      </c>
    </row>
    <row r="13">
      <c r="A13" t="inlineStr">
        <is>
          <t>Property Tax / ΕΝ.Φ.Ι.Α.:</t>
        </is>
      </c>
      <c r="B13" s="29" t="inlineStr">
        <is>
          <t>2.0%</t>
        </is>
      </c>
      <c r="C13" s="50">
        <f>B9*B13</f>
        <v/>
      </c>
    </row>
    <row r="14">
      <c r="A14" t="inlineStr">
        <is>
          <t>Insurance / Ασφάλιση:</t>
        </is>
      </c>
      <c r="B14" s="29" t="inlineStr">
        <is>
          <t>0.5%</t>
        </is>
      </c>
      <c r="C14" s="50">
        <f>B9*B14</f>
        <v/>
      </c>
    </row>
    <row r="15">
      <c r="A15" t="inlineStr">
        <is>
          <t>Maintenance / Συντήρηση:</t>
        </is>
      </c>
      <c r="B15" s="29" t="inlineStr">
        <is>
          <t>3.0%</t>
        </is>
      </c>
      <c r="C15" s="50">
        <f>B9*B15</f>
        <v/>
      </c>
    </row>
    <row r="16">
      <c r="A16" t="inlineStr">
        <is>
          <t>Management Fee / Διαχείριση:</t>
        </is>
      </c>
      <c r="B16" s="29" t="inlineStr">
        <is>
          <t>5.0%</t>
        </is>
      </c>
      <c r="C16" s="50">
        <f>B9*B16</f>
        <v/>
      </c>
    </row>
    <row r="17">
      <c r="A17" t="inlineStr">
        <is>
          <t>Common Expenses / Κοινόχρηστα:</t>
        </is>
      </c>
      <c r="B17" s="29" t="inlineStr">
        <is>
          <t>4.0%</t>
        </is>
      </c>
      <c r="C17" s="50">
        <f>B9*B17</f>
        <v/>
      </c>
    </row>
    <row r="18">
      <c r="A18" t="inlineStr">
        <is>
          <t>Vacancy Allowance / Κενά Διαστήματα:</t>
        </is>
      </c>
      <c r="B18" s="29" t="inlineStr">
        <is>
          <t>5.0%</t>
        </is>
      </c>
      <c r="C18" s="50">
        <f>B9*B18</f>
        <v/>
      </c>
    </row>
    <row r="19">
      <c r="A19" t="inlineStr">
        <is>
          <t>Other Costs / Λοιπά:</t>
        </is>
      </c>
      <c r="B19" s="29" t="inlineStr">
        <is>
          <t>2.0%</t>
        </is>
      </c>
      <c r="C19" s="50">
        <f>B9*B19</f>
        <v/>
      </c>
    </row>
    <row r="21">
      <c r="A21" s="39" t="inlineStr">
        <is>
          <t>Total Operating Expenses:</t>
        </is>
      </c>
      <c r="B21" s="43">
        <f>SUM(B13:B19)</f>
        <v/>
      </c>
      <c r="C21" s="51">
        <f>SUM(C13:C19)</f>
        <v/>
      </c>
    </row>
    <row r="23">
      <c r="A23" s="25" t="inlineStr">
        <is>
          <t>NET OPERATING INCOME (NOI) / ΚΑΘΑΡΟ ΕΙΣΟΔΗΜΑ:</t>
        </is>
      </c>
      <c r="B23" s="52">
        <f>B9-C21</f>
        <v/>
      </c>
    </row>
    <row r="25">
      <c r="A25" s="17" t="inlineStr">
        <is>
          <t>C. CAPITALIZATION RATE METHOD / ΜΕΘΟΔΟΣ ΚΕΦΑΛΑΙΟΠΟΙΗΣΗΣ</t>
        </is>
      </c>
    </row>
    <row r="27">
      <c r="A27" t="inlineStr">
        <is>
          <t>Capitalization Rate / Συντελεστής (%):</t>
        </is>
      </c>
      <c r="B27" s="53" t="inlineStr">
        <is>
          <t>6.5%</t>
        </is>
      </c>
    </row>
    <row r="28">
      <c r="A28" s="42" t="inlineStr">
        <is>
          <t>Based on Greek market data by property type:</t>
        </is>
      </c>
    </row>
    <row r="29">
      <c r="A29" s="42" t="inlineStr">
        <is>
          <t>Residential 6-7%, Retail 5.5-6.5%, Office 6-7%, Industrial 7.5-8.7%</t>
        </is>
      </c>
    </row>
    <row r="31">
      <c r="A31" s="47" t="inlineStr">
        <is>
          <t>MARKET VALUE (Income Method):</t>
        </is>
      </c>
      <c r="B31" s="54">
        <f>B23/B27</f>
        <v/>
      </c>
    </row>
    <row r="33">
      <c r="A33" s="17" t="inlineStr">
        <is>
          <t>D. DCF ANALYSIS (10-Year Hold) / ΑΝΑΛΥΣΗ DCF</t>
        </is>
      </c>
    </row>
    <row r="35">
      <c r="A35" t="inlineStr">
        <is>
          <t>Rental Growth Rate / Αύξηση Ενοικίου (% p.a.):</t>
        </is>
      </c>
      <c r="B35" s="29" t="inlineStr">
        <is>
          <t>2.0%</t>
        </is>
      </c>
    </row>
    <row r="36">
      <c r="A36" t="inlineStr">
        <is>
          <t>Discount Rate / Προεξοφλητικό Επιτόκιο (%):</t>
        </is>
      </c>
      <c r="B36" s="29" t="inlineStr">
        <is>
          <t>7.5%</t>
        </is>
      </c>
    </row>
    <row r="37">
      <c r="A37" t="inlineStr">
        <is>
          <t>Exit Capitalization Rate / Συντελεστής Εξόδου (%):</t>
        </is>
      </c>
      <c r="B37" s="29" t="inlineStr">
        <is>
          <t>7.0%</t>
        </is>
      </c>
    </row>
    <row r="39">
      <c r="A39" s="55" t="inlineStr">
        <is>
          <t>Year</t>
        </is>
      </c>
      <c r="B39" s="55" t="inlineStr">
        <is>
          <t>NOI</t>
        </is>
      </c>
      <c r="C39" s="55" t="inlineStr">
        <is>
          <t>PV Factor</t>
        </is>
      </c>
      <c r="D39" s="55" t="inlineStr">
        <is>
          <t>Present Value</t>
        </is>
      </c>
    </row>
    <row r="40">
      <c r="A40" s="34" t="n">
        <v>1</v>
      </c>
      <c r="B40" s="56">
        <f>$B$23*(1+$B$35)^A40</f>
        <v/>
      </c>
      <c r="C40" s="57">
        <f>1/(1+$B$36)^A40</f>
        <v/>
      </c>
      <c r="D40" s="56">
        <f>B40*C40</f>
        <v/>
      </c>
    </row>
    <row r="41">
      <c r="A41" s="34" t="n">
        <v>2</v>
      </c>
      <c r="B41" s="56">
        <f>$B$23*(1+$B$35)^A41</f>
        <v/>
      </c>
      <c r="C41" s="57">
        <f>1/(1+$B$36)^A41</f>
        <v/>
      </c>
      <c r="D41" s="56">
        <f>B41*C41</f>
        <v/>
      </c>
    </row>
    <row r="42">
      <c r="A42" s="34" t="n">
        <v>3</v>
      </c>
      <c r="B42" s="56">
        <f>$B$23*(1+$B$35)^A42</f>
        <v/>
      </c>
      <c r="C42" s="57">
        <f>1/(1+$B$36)^A42</f>
        <v/>
      </c>
      <c r="D42" s="56">
        <f>B42*C42</f>
        <v/>
      </c>
    </row>
    <row r="43">
      <c r="A43" s="34" t="n">
        <v>4</v>
      </c>
      <c r="B43" s="56">
        <f>$B$23*(1+$B$35)^A43</f>
        <v/>
      </c>
      <c r="C43" s="57">
        <f>1/(1+$B$36)^A43</f>
        <v/>
      </c>
      <c r="D43" s="56">
        <f>B43*C43</f>
        <v/>
      </c>
    </row>
    <row r="44">
      <c r="A44" s="34" t="n">
        <v>5</v>
      </c>
      <c r="B44" s="56">
        <f>$B$23*(1+$B$35)^A44</f>
        <v/>
      </c>
      <c r="C44" s="57">
        <f>1/(1+$B$36)^A44</f>
        <v/>
      </c>
      <c r="D44" s="56">
        <f>B44*C44</f>
        <v/>
      </c>
    </row>
    <row r="45">
      <c r="A45" s="34" t="n">
        <v>6</v>
      </c>
      <c r="B45" s="56">
        <f>$B$23*(1+$B$35)^A45</f>
        <v/>
      </c>
      <c r="C45" s="57">
        <f>1/(1+$B$36)^A45</f>
        <v/>
      </c>
      <c r="D45" s="56">
        <f>B45*C45</f>
        <v/>
      </c>
    </row>
    <row r="46">
      <c r="A46" s="34" t="n">
        <v>7</v>
      </c>
      <c r="B46" s="56">
        <f>$B$23*(1+$B$35)^A46</f>
        <v/>
      </c>
      <c r="C46" s="57">
        <f>1/(1+$B$36)^A46</f>
        <v/>
      </c>
      <c r="D46" s="56">
        <f>B46*C46</f>
        <v/>
      </c>
    </row>
    <row r="47">
      <c r="A47" s="34" t="n">
        <v>8</v>
      </c>
      <c r="B47" s="56">
        <f>$B$23*(1+$B$35)^A47</f>
        <v/>
      </c>
      <c r="C47" s="57">
        <f>1/(1+$B$36)^A47</f>
        <v/>
      </c>
      <c r="D47" s="56">
        <f>B47*C47</f>
        <v/>
      </c>
    </row>
    <row r="48">
      <c r="A48" s="34" t="n">
        <v>9</v>
      </c>
      <c r="B48" s="56">
        <f>$B$23*(1+$B$35)^A48</f>
        <v/>
      </c>
      <c r="C48" s="57">
        <f>1/(1+$B$36)^A48</f>
        <v/>
      </c>
      <c r="D48" s="56">
        <f>B48*C48</f>
        <v/>
      </c>
    </row>
    <row r="49">
      <c r="A49" s="34" t="n">
        <v>10</v>
      </c>
      <c r="B49" s="56">
        <f>$B$23*(1+$B$35)^A49</f>
        <v/>
      </c>
      <c r="C49" s="57">
        <f>1/(1+$B$36)^A49</f>
        <v/>
      </c>
      <c r="D49" s="56">
        <f>B49*C49</f>
        <v/>
      </c>
    </row>
    <row r="50">
      <c r="A50" t="inlineStr">
        <is>
          <t>Exit Value (Year 10 NOI / Exit Cap Rate):</t>
        </is>
      </c>
      <c r="B50" s="56">
        <f>B49/$B$37</f>
        <v/>
      </c>
    </row>
    <row r="51">
      <c r="A51" t="inlineStr">
        <is>
          <t>PV of Exit Value:</t>
        </is>
      </c>
      <c r="D51" s="56">
        <f>B50*C49</f>
        <v/>
      </c>
    </row>
    <row r="53">
      <c r="A53" t="inlineStr">
        <is>
          <t>Total PV of Cash Flows:</t>
        </is>
      </c>
      <c r="D53" s="51">
        <f>SUM(D40:D49)</f>
        <v/>
      </c>
    </row>
    <row r="55">
      <c r="A55" s="47" t="inlineStr">
        <is>
          <t>MARKET VALUE (DCF Method):</t>
        </is>
      </c>
      <c r="D55" s="54">
        <f>D53+D51</f>
        <v/>
      </c>
    </row>
  </sheetData>
  <mergeCells count="2"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METHOD RECONCILIATION / ΣΥΜΦΩΝΙΑ ΜΕΘΟΔΩΝ</t>
        </is>
      </c>
    </row>
    <row r="3">
      <c r="A3" s="58" t="inlineStr">
        <is>
          <t>CRITICAL: Per ΣΕΚΕ guidance, NEVER use simple average of methods.</t>
        </is>
      </c>
    </row>
    <row r="4">
      <c r="A4" s="27" t="inlineStr">
        <is>
          <t>Assign weights based on reliability, data availability, and property type appropriateness.</t>
        </is>
      </c>
    </row>
    <row r="6">
      <c r="A6" s="17" t="inlineStr">
        <is>
          <t>A. METHOD RESULTS / ΑΠΟΤΕΛΕΣΜΑΤΑ ΜΕΘΟΔΩΝ</t>
        </is>
      </c>
    </row>
    <row r="8">
      <c r="A8" s="41" t="inlineStr">
        <is>
          <t>Valuation Method</t>
        </is>
      </c>
      <c r="B8" s="41" t="inlineStr">
        <is>
          <t>Indicated Value (€)</t>
        </is>
      </c>
      <c r="C8" s="41" t="inlineStr">
        <is>
          <t>Weight %</t>
        </is>
      </c>
      <c r="D8" s="41" t="inlineStr">
        <is>
          <t>Weighted Value (€)</t>
        </is>
      </c>
    </row>
    <row r="9">
      <c r="A9" t="inlineStr">
        <is>
          <t>Comparative Method / Συγκριτική</t>
        </is>
      </c>
      <c r="B9" s="50">
        <f>'6_COMPARATIVE_METHOD'!B73</f>
        <v/>
      </c>
      <c r="C9" s="59" t="inlineStr">
        <is>
          <t>70%</t>
        </is>
      </c>
      <c r="D9" s="50">
        <f>B9*C9</f>
        <v/>
      </c>
    </row>
    <row r="10">
      <c r="A10" t="inlineStr">
        <is>
          <t>Income Method (Cap Rate) / Εισοδήματος</t>
        </is>
      </c>
      <c r="B10" s="50">
        <f>'7_INCOME_METHOD_DCF'!B31</f>
        <v/>
      </c>
      <c r="C10" s="59" t="inlineStr">
        <is>
          <t>30%</t>
        </is>
      </c>
      <c r="D10" s="50">
        <f>B10*C10</f>
        <v/>
      </c>
    </row>
    <row r="11">
      <c r="A11" t="inlineStr">
        <is>
          <t>DCF Method (10-year) / DCF</t>
        </is>
      </c>
      <c r="B11" s="50">
        <f>'7_INCOME_METHOD_DCF'!D55</f>
        <v/>
      </c>
      <c r="C11" s="59" t="inlineStr">
        <is>
          <t>0%</t>
        </is>
      </c>
      <c r="D11" s="50">
        <f>B11*C11</f>
        <v/>
      </c>
    </row>
    <row r="12">
      <c r="A12" t="inlineStr">
        <is>
          <t>Cost Method / Αποσβεσμένου Κόστους</t>
        </is>
      </c>
      <c r="B12" s="35" t="inlineStr">
        <is>
          <t>0</t>
        </is>
      </c>
      <c r="C12" s="59" t="inlineStr">
        <is>
          <t>0%</t>
        </is>
      </c>
      <c r="D12" s="50">
        <f>B12*C12</f>
        <v/>
      </c>
    </row>
    <row r="13">
      <c r="A13" t="inlineStr">
        <is>
          <t>Residual Method / Υπολειμματική</t>
        </is>
      </c>
      <c r="B13" s="35" t="inlineStr">
        <is>
          <t>0</t>
        </is>
      </c>
      <c r="C13" s="59" t="inlineStr">
        <is>
          <t>0%</t>
        </is>
      </c>
      <c r="D13" s="50">
        <f>B13*C13</f>
        <v/>
      </c>
    </row>
    <row r="15">
      <c r="A15" s="39" t="inlineStr">
        <is>
          <t>Total Weight (must = 100%):</t>
        </is>
      </c>
      <c r="C15" s="60">
        <f>SUM(C9:C13)</f>
        <v/>
      </c>
    </row>
    <row r="17">
      <c r="A17" s="17" t="inlineStr">
        <is>
          <t>B. FINAL MARKET VALUE / ΤΕΛΙΚΗ ΑΓΟΡΑΙΑ ΑΞΙΑ</t>
        </is>
      </c>
    </row>
    <row r="19">
      <c r="A19" s="6" t="inlineStr">
        <is>
          <t>WEIGHTED MARKET VALUE:</t>
        </is>
      </c>
      <c r="B19" s="61">
        <f>SUM(D9:D13)</f>
        <v/>
      </c>
    </row>
    <row r="21">
      <c r="A21" t="inlineStr">
        <is>
          <t>Rounded to nearest €1,000:</t>
        </is>
      </c>
      <c r="B21" s="62">
        <f>ROUND(B19,-3)</f>
        <v/>
      </c>
    </row>
    <row r="23">
      <c r="A23" s="17" t="inlineStr">
        <is>
          <t>C. RELIABILITY ASSESSMENT / ΑΞΙΟΛΟΓΗΣΗ ΑΞΙΟΠΙΣΤΙΑΣ</t>
        </is>
      </c>
    </row>
    <row r="25">
      <c r="A25" s="11" t="inlineStr"/>
      <c r="B25" s="63" t="n"/>
      <c r="C25" s="63" t="n"/>
      <c r="D25" s="12" t="n"/>
    </row>
    <row r="26">
      <c r="A26" s="13" t="n"/>
      <c r="D26" s="14" t="n"/>
    </row>
    <row r="27">
      <c r="A27" s="13" t="n"/>
      <c r="D27" s="14" t="n"/>
    </row>
    <row r="28">
      <c r="A28" s="13" t="n"/>
      <c r="D28" s="14" t="n"/>
    </row>
    <row r="29">
      <c r="A29" s="13" t="n"/>
      <c r="D29" s="14" t="n"/>
    </row>
    <row r="30">
      <c r="A30" s="15" t="n"/>
      <c r="B30" s="64" t="n"/>
      <c r="C30" s="64" t="n"/>
      <c r="D30" s="16" t="n"/>
    </row>
  </sheetData>
  <mergeCells count="4">
    <mergeCell ref="A1:D1"/>
    <mergeCell ref="A25:D30"/>
    <mergeCell ref="A4:D4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SWOT ANALYSIS / ΑΝΑΛΥΣΗ SWOT</t>
        </is>
      </c>
    </row>
    <row r="3">
      <c r="A3" s="17" t="inlineStr">
        <is>
          <t>STRENGTHS / ΠΛΕΟΝΕΚΤΗΜΑΤΑ</t>
        </is>
      </c>
      <c r="B3" s="17" t="inlineStr">
        <is>
          <t>WEAKNESSES / ΜΕΙΟΝΕΚΤΗΜΑΤΑ</t>
        </is>
      </c>
    </row>
    <row r="5">
      <c r="A5" s="11" t="inlineStr"/>
      <c r="B5" s="11" t="inlineStr"/>
    </row>
    <row r="6">
      <c r="A6" s="82" t="n"/>
      <c r="B6" s="82" t="n"/>
    </row>
    <row r="7">
      <c r="A7" s="82" t="n"/>
      <c r="B7" s="82" t="n"/>
    </row>
    <row r="8">
      <c r="A8" s="82" t="n"/>
      <c r="B8" s="82" t="n"/>
    </row>
    <row r="9">
      <c r="A9" s="82" t="n"/>
      <c r="B9" s="82" t="n"/>
    </row>
    <row r="10">
      <c r="A10" s="82" t="n"/>
      <c r="B10" s="82" t="n"/>
    </row>
    <row r="11">
      <c r="A11" s="82" t="n"/>
      <c r="B11" s="82" t="n"/>
    </row>
    <row r="12">
      <c r="A12" s="82" t="n"/>
      <c r="B12" s="82" t="n"/>
    </row>
    <row r="13">
      <c r="A13" s="82" t="n"/>
      <c r="B13" s="82" t="n"/>
    </row>
    <row r="14">
      <c r="A14" s="82" t="n"/>
      <c r="B14" s="82" t="n"/>
    </row>
    <row r="15">
      <c r="A15" s="83" t="n"/>
      <c r="B15" s="83" t="n"/>
    </row>
    <row r="17">
      <c r="A17" s="17" t="inlineStr">
        <is>
          <t>OPPORTUNITIES / ΕΥΚΑΙΡΙΕΣ</t>
        </is>
      </c>
      <c r="B17" s="17" t="inlineStr">
        <is>
          <t>THREATS / ΚΙΝΔΥΝΟΙ</t>
        </is>
      </c>
    </row>
    <row r="19">
      <c r="A19" s="11" t="inlineStr"/>
      <c r="B19" s="11" t="inlineStr"/>
    </row>
    <row r="20">
      <c r="A20" s="82" t="n"/>
      <c r="B20" s="82" t="n"/>
    </row>
    <row r="21">
      <c r="A21" s="82" t="n"/>
      <c r="B21" s="82" t="n"/>
    </row>
    <row r="22">
      <c r="A22" s="82" t="n"/>
      <c r="B22" s="82" t="n"/>
    </row>
    <row r="23">
      <c r="A23" s="82" t="n"/>
      <c r="B23" s="82" t="n"/>
    </row>
    <row r="24">
      <c r="A24" s="82" t="n"/>
      <c r="B24" s="82" t="n"/>
    </row>
    <row r="25">
      <c r="A25" s="82" t="n"/>
      <c r="B25" s="82" t="n"/>
    </row>
    <row r="26">
      <c r="A26" s="82" t="n"/>
      <c r="B26" s="82" t="n"/>
    </row>
    <row r="27">
      <c r="A27" s="82" t="n"/>
      <c r="B27" s="82" t="n"/>
    </row>
    <row r="28">
      <c r="A28" s="82" t="n"/>
      <c r="B28" s="82" t="n"/>
    </row>
    <row r="29">
      <c r="A29" s="83" t="n"/>
      <c r="B29" s="83" t="n"/>
    </row>
  </sheetData>
  <mergeCells count="5">
    <mergeCell ref="B19:B29"/>
    <mergeCell ref="A1:B1"/>
    <mergeCell ref="A19:A29"/>
    <mergeCell ref="A5:A15"/>
    <mergeCell ref="B5:B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ASSUMPTIONS REGISTER / ΜΗΤΡΩΟ ΠΑΡΑΔΟΧΩΝ</t>
        </is>
      </c>
    </row>
    <row r="3">
      <c r="A3" s="27" t="inlineStr">
        <is>
          <t>Per RICS VPS 4: All assumptions must be reasonable, relevant, and clearly stated.</t>
        </is>
      </c>
    </row>
    <row r="5">
      <c r="A5" s="17" t="inlineStr">
        <is>
          <t>A. STANDARD ASSUMPTIONS / ΓΕΝΙΚΕΣ ΠΑΡΑΔΟΧΕΣ</t>
        </is>
      </c>
    </row>
    <row r="7">
      <c r="A7" s="34" t="inlineStr">
        <is>
          <t>☑</t>
        </is>
      </c>
      <c r="B7" s="10" t="inlineStr">
        <is>
          <t>Good and marketable legal title / Νόμιμος τίτλος</t>
        </is>
      </c>
    </row>
    <row r="8">
      <c r="A8" s="34" t="inlineStr">
        <is>
          <t>☑</t>
        </is>
      </c>
      <c r="B8" s="10" t="inlineStr">
        <is>
          <t>Free from encumbrances / Χωρίς βάρη εκτός δηλωθέντων</t>
        </is>
      </c>
    </row>
    <row r="9">
      <c r="A9" s="34" t="inlineStr">
        <is>
          <t>☑</t>
        </is>
      </c>
      <c r="B9" s="10" t="inlineStr">
        <is>
          <t>Planning/zoning compliance / Πολεοδομική νομιμότητα</t>
        </is>
      </c>
    </row>
    <row r="10">
      <c r="A10" s="34" t="inlineStr">
        <is>
          <t>☑</t>
        </is>
      </c>
      <c r="B10" s="10" t="inlineStr">
        <is>
          <t>Building permit validity / Έγκυρη οικοδομική άδεια</t>
        </is>
      </c>
    </row>
    <row r="11">
      <c r="A11" s="34" t="inlineStr">
        <is>
          <t>☑</t>
        </is>
      </c>
      <c r="B11" s="10" t="inlineStr">
        <is>
          <t>Structural soundness / Στατική επάρκεια</t>
        </is>
      </c>
    </row>
    <row r="12">
      <c r="A12" s="34" t="inlineStr">
        <is>
          <t>☑</t>
        </is>
      </c>
      <c r="B12" s="10" t="inlineStr">
        <is>
          <t>No hazardous materials / Χωρίς επικίνδυνα υλικά (asbestos, etc.)</t>
        </is>
      </c>
    </row>
    <row r="13">
      <c r="A13" s="34" t="inlineStr">
        <is>
          <t>☑</t>
        </is>
      </c>
      <c r="B13" s="10" t="inlineStr">
        <is>
          <t>No hidden defects / Χωρίς κρυφά ελαττώματα</t>
        </is>
      </c>
    </row>
    <row r="14">
      <c r="A14" s="34" t="inlineStr">
        <is>
          <t>☑</t>
        </is>
      </c>
      <c r="B14" s="10" t="inlineStr">
        <is>
          <t>No environmental contamination / Χωρίς περιβαλλοντική μόλυνση</t>
        </is>
      </c>
    </row>
    <row r="15">
      <c r="A15" s="34" t="inlineStr">
        <is>
          <t>☑</t>
        </is>
      </c>
      <c r="B15" s="10" t="inlineStr">
        <is>
          <t>Compliance with health &amp; safety / Συμμόρφωση υγεία/ασφάλεια</t>
        </is>
      </c>
    </row>
    <row r="16">
      <c r="A16" s="34" t="inlineStr">
        <is>
          <t>☑</t>
        </is>
      </c>
      <c r="B16" s="10" t="inlineStr">
        <is>
          <t>All utilities available / Όλες οι παροχές διαθέσιμες</t>
        </is>
      </c>
    </row>
    <row r="17">
      <c r="A17" s="34" t="inlineStr">
        <is>
          <t>☑</t>
        </is>
      </c>
      <c r="B17" s="10" t="inlineStr">
        <is>
          <t>No adverse rights of way / Χωρίς δικαιώματα διέλευσης</t>
        </is>
      </c>
    </row>
    <row r="18">
      <c r="A18" s="34" t="inlineStr">
        <is>
          <t>☑</t>
        </is>
      </c>
      <c r="B18" s="10" t="inlineStr">
        <is>
          <t>Property accessible / Νόμιμη πρόσβαση</t>
        </is>
      </c>
    </row>
    <row r="20">
      <c r="A20" s="17" t="inlineStr">
        <is>
          <t>B. SPECIAL ASSUMPTIONS / ΕΙΔΙΚΕΣ ΠΑΡΑΔΟΧΕΣ</t>
        </is>
      </c>
    </row>
    <row r="22">
      <c r="A22" s="27" t="inlineStr">
        <is>
          <t>List any special assumptions that differ from actual circumstances:</t>
        </is>
      </c>
    </row>
    <row r="24">
      <c r="A24" s="11" t="inlineStr"/>
      <c r="B24" s="12" t="n"/>
    </row>
    <row r="25">
      <c r="A25" s="13" t="n"/>
      <c r="B25" s="14" t="n"/>
    </row>
    <row r="26">
      <c r="A26" s="13" t="n"/>
      <c r="B26" s="14" t="n"/>
    </row>
    <row r="27">
      <c r="A27" s="13" t="n"/>
      <c r="B27" s="14" t="n"/>
    </row>
    <row r="28">
      <c r="A28" s="13" t="n"/>
      <c r="B28" s="14" t="n"/>
    </row>
    <row r="29">
      <c r="A29" s="13" t="n"/>
      <c r="B29" s="14" t="n"/>
    </row>
    <row r="30">
      <c r="A30" s="13" t="n"/>
      <c r="B30" s="14" t="n"/>
    </row>
    <row r="31">
      <c r="A31" s="13" t="n"/>
      <c r="B31" s="14" t="n"/>
    </row>
    <row r="32">
      <c r="A32" s="13" t="n"/>
      <c r="B32" s="14" t="n"/>
    </row>
    <row r="33">
      <c r="A33" s="13" t="n"/>
      <c r="B33" s="14" t="n"/>
    </row>
    <row r="34">
      <c r="A34" s="15" t="n"/>
      <c r="B34" s="16" t="n"/>
    </row>
  </sheetData>
  <mergeCells count="4">
    <mergeCell ref="A3:B3"/>
    <mergeCell ref="A22:B22"/>
    <mergeCell ref="A1:B1"/>
    <mergeCell ref="A24:B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VALUATION REPORT / ΕΚΘΕΣΗ ΕΚΤΙΜΗΣΗΣ</t>
        </is>
      </c>
    </row>
    <row r="3">
      <c r="A3" s="65" t="inlineStr">
        <is>
          <t>1. PROPERTY IDENTIFICATION / ΤΑΥΤΟΤΗΤΑ ΑΚΙΝΗΤΟΥ</t>
        </is>
      </c>
    </row>
    <row r="5">
      <c r="A5" t="inlineStr">
        <is>
          <t>Address:</t>
        </is>
      </c>
      <c r="B5" s="4">
        <f>'1_EXECUTIVE_SUMMARY'!B3</f>
        <v/>
      </c>
    </row>
    <row r="6">
      <c r="A6" t="inlineStr">
        <is>
          <t>Type:</t>
        </is>
      </c>
      <c r="B6" s="4">
        <f>'1_EXECUTIVE_SUMMARY'!B4</f>
        <v/>
      </c>
    </row>
    <row r="7">
      <c r="A7" t="inlineStr">
        <is>
          <t>Total Area:</t>
        </is>
      </c>
      <c r="B7" s="20">
        <f>'3_PROPERTY_DESCRIPTION'!D37</f>
        <v/>
      </c>
    </row>
    <row r="9">
      <c r="A9" s="65" t="inlineStr">
        <is>
          <t>2. VALUATION BASIS / ΒΑΣΗ ΕΚΤΙΜΗΣΗΣ</t>
        </is>
      </c>
    </row>
    <row r="11">
      <c r="A11" t="inlineStr">
        <is>
          <t>Valuation Date:</t>
        </is>
      </c>
      <c r="B11" s="66">
        <f>'2_TERMS_OF_ENGAGEMENT'!B7</f>
        <v/>
      </c>
    </row>
    <row r="12">
      <c r="A12" t="inlineStr">
        <is>
          <t>Inspection Date:</t>
        </is>
      </c>
      <c r="B12" s="66">
        <f>'2_TERMS_OF_ENGAGEMENT'!B8</f>
        <v/>
      </c>
    </row>
    <row r="13">
      <c r="A13" t="inlineStr">
        <is>
          <t>Basis of Value:</t>
        </is>
      </c>
      <c r="B13" s="67" t="inlineStr">
        <is>
          <t>Market Value (IVS 2020 / EVS 2016)</t>
        </is>
      </c>
    </row>
    <row r="14">
      <c r="A14" t="inlineStr">
        <is>
          <t>Purpose:</t>
        </is>
      </c>
      <c r="B14" s="4">
        <f>'2_TERMS_OF_ENGAGEMENT'!B4</f>
        <v/>
      </c>
    </row>
    <row r="16">
      <c r="A16" s="47" t="inlineStr">
        <is>
          <t>3. MARKET VALUE CONCLUSION / ΣΥΜΠΕΡΑΣΜΑ</t>
        </is>
      </c>
    </row>
    <row r="18">
      <c r="A18" s="68" t="inlineStr">
        <is>
          <t>MARKET VALUE:</t>
        </is>
      </c>
      <c r="B18" s="61">
        <f>'8_METHOD_RECONCILIATION'!B19</f>
        <v/>
      </c>
    </row>
    <row r="20">
      <c r="A20" t="inlineStr">
        <is>
          <t>In words / Ολογράφως:</t>
        </is>
      </c>
    </row>
    <row r="21">
      <c r="A21" s="2" t="inlineStr"/>
      <c r="B21" s="74" t="n"/>
    </row>
    <row r="23">
      <c r="A23" s="65" t="inlineStr">
        <is>
          <t>4. METHODS APPLIED / ΕΦΑΡΜΟΣΘΕΙΣΕΣ ΜΕΘΟΔΟΙ</t>
        </is>
      </c>
    </row>
    <row r="25">
      <c r="A25" t="inlineStr">
        <is>
          <t>Primary Method:</t>
        </is>
      </c>
      <c r="B25" t="inlineStr">
        <is>
          <t>Comparative Method (Sales Comparison Approach)</t>
        </is>
      </c>
    </row>
    <row r="26">
      <c r="A26" t="inlineStr">
        <is>
          <t>Weighting:</t>
        </is>
      </c>
      <c r="B26" s="69">
        <f>'8_METHOD_RECONCILIATION'!C9</f>
        <v/>
      </c>
    </row>
    <row r="27">
      <c r="A27" t="inlineStr">
        <is>
          <t>Supporting Method:</t>
        </is>
      </c>
      <c r="B27" t="inlineStr">
        <is>
          <t>Income Capitalization Method</t>
        </is>
      </c>
    </row>
    <row r="28">
      <c r="A28" t="inlineStr">
        <is>
          <t>Weighting:</t>
        </is>
      </c>
      <c r="B28" s="69">
        <f>'8_METHOD_RECONCILIATION'!C10</f>
        <v/>
      </c>
    </row>
    <row r="30">
      <c r="A30" s="65" t="inlineStr">
        <is>
          <t>5. COMPLIANCE / ΣΥΜΜΟΡΦΩΣΗ</t>
        </is>
      </c>
    </row>
    <row r="32">
      <c r="A32" s="70" t="inlineStr">
        <is>
          <t>This valuation has been prepared in accordance with:
☑ RICS Valuation – Global Standards (Red Book 2022)
☑ International Valuation Standards (IVS 2020)
☑ European Valuation Standards (EVS 2016)
☑ Greek Valuers Association Standards (ΣΕΚΕ 2018)
☑ IFRS 13 Fair Value Measurement (where applicable)</t>
        </is>
      </c>
    </row>
    <row r="33"/>
    <row r="34"/>
    <row r="35"/>
    <row r="36"/>
    <row r="38">
      <c r="A38" s="25" t="inlineStr">
        <is>
          <t>6. MARKET UNCERTAINTY CLAUSE / ΡΗΤΡΑ ΑΒΕΒΑΙΟΤΗΤΑΣ</t>
        </is>
      </c>
    </row>
    <row r="40">
      <c r="A40" s="71" t="inlineStr">
        <is>
          <t>Given the ongoing economic conditions in Greece and broader market volatility, this valuation is reported with a degree of uncertainty that is higher than would be normal. Market conditions may change rapidly. This valuation should not be relied upon beyond 6 months from the valuation date without review. Professional revaluation is recommended if used for financial reporting or lending decisions after this period.</t>
        </is>
      </c>
    </row>
    <row r="41"/>
    <row r="42"/>
    <row r="43"/>
    <row r="44"/>
    <row r="46">
      <c r="A46" s="65" t="inlineStr">
        <is>
          <t>7. VALUER CERTIFICATION / ΠΙΣΤΟΠΟΙΗΣΗ ΕΚΤΙΜΗΤΗ</t>
        </is>
      </c>
    </row>
    <row r="48">
      <c r="A48" t="inlineStr">
        <is>
          <t>Valuer Name:</t>
        </is>
      </c>
      <c r="B48" s="4">
        <f>'2_TERMS_OF_ENGAGEMENT'!B16</f>
        <v/>
      </c>
    </row>
    <row r="49">
      <c r="A49" t="inlineStr">
        <is>
          <t>Qualification:</t>
        </is>
      </c>
      <c r="B49" s="4">
        <f>'2_TERMS_OF_ENGAGEMENT'!B17</f>
        <v/>
      </c>
    </row>
    <row r="50">
      <c r="A50" t="inlineStr">
        <is>
          <t>Ministry Registry No.:</t>
        </is>
      </c>
      <c r="B50" s="4">
        <f>'2_TERMS_OF_ENGAGEMENT'!B18</f>
        <v/>
      </c>
    </row>
    <row r="51">
      <c r="A51" t="inlineStr">
        <is>
          <t>Firm:</t>
        </is>
      </c>
      <c r="B51" s="4">
        <f>'2_TERMS_OF_ENGAGEMENT'!B19</f>
        <v/>
      </c>
    </row>
    <row r="53">
      <c r="A53" s="70" t="inlineStr">
        <is>
          <t>I certify that:
• I have the requisite qualifications and experience
• I am independent and have no conflicts of interest
• The valuation has been conducted with professional care
• I have inspected the property personally
• All assumptions are reasonable and clearly stated
• This report complies with applicable professional standards</t>
        </is>
      </c>
    </row>
    <row r="54"/>
    <row r="55"/>
    <row r="56"/>
    <row r="57"/>
    <row r="58"/>
    <row r="60">
      <c r="A60" t="inlineStr">
        <is>
          <t>Signature:</t>
        </is>
      </c>
    </row>
    <row r="61">
      <c r="A61" t="inlineStr">
        <is>
          <t>Date:</t>
        </is>
      </c>
      <c r="B61" s="66">
        <f>TODAY()</f>
        <v/>
      </c>
    </row>
  </sheetData>
  <mergeCells count="5">
    <mergeCell ref="A21:B21"/>
    <mergeCell ref="A32:B36"/>
    <mergeCell ref="A40:B44"/>
    <mergeCell ref="A1:B1"/>
    <mergeCell ref="A53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2026-01-04T15:01:23Z</dcterms:created>
  <dcterms:modified xmlns:dcterms="http://purl.org/dc/terms/" xmlns:xsi="http://www.w3.org/2001/XMLSchema-instance" xsi:type="dcterms:W3CDTF">2026-01-04T15:56:13Z</dcterms:modified>
</cp:coreProperties>
</file>