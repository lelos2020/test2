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_Assumptions" sheetId="1" state="visible" r:id="rId3"/>
    <sheet name="Current_Structure" sheetId="2" state="visible" r:id="rId4"/>
    <sheet name="Peer_Comparison" sheetId="3" state="visible" r:id="rId5"/>
    <sheet name="Optimization_Scenarios" sheetId="4" state="visible" r:id="rId6"/>
    <sheet name="Rating_Constraints" sheetId="5" state="visible" r:id="rId7"/>
    <sheet name="WAC_Calculator" sheetId="6" state="visible" r:id="rId8"/>
    <sheet name="Sensitivity_Analysis" sheetId="7" state="visible" r:id="rId9"/>
    <sheet name="Optimization_Summary" sheetId="8" state="visible" r:id="rId10"/>
    <sheet name="Data_Tabl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<sst xmlns="http://schemas.openxmlformats.org/spreadsheetml/2006/main" count="613" uniqueCount="414">
  <si>
    <t xml:space="preserve">RMBS Capital Structure Optimization Model</t>
  </si>
  <si>
    <t xml:space="preserve">Based on S&amp;P Rating Agency Methodology</t>
  </si>
  <si>
    <t xml:space="preserve">DEAL INFORMATION</t>
  </si>
  <si>
    <t xml:space="preserve">Deal Name</t>
  </si>
  <si>
    <t xml:space="preserve">Polaris 2025-3 PLC</t>
  </si>
  <si>
    <t xml:space="preserve">Input</t>
  </si>
  <si>
    <t xml:space="preserve">Closing Date</t>
  </si>
  <si>
    <t xml:space="preserve">Pool Balance (£m)</t>
  </si>
  <si>
    <t xml:space="preserve">Input - Total incl. prefunding</t>
  </si>
  <si>
    <t xml:space="preserve">Rated Note Balance (£m)</t>
  </si>
  <si>
    <t xml:space="preserve">Calculated</t>
  </si>
  <si>
    <t xml:space="preserve">Currency</t>
  </si>
  <si>
    <t xml:space="preserve">GBP</t>
  </si>
  <si>
    <t xml:space="preserve">Collateral Type</t>
  </si>
  <si>
    <t xml:space="preserve">Nonconforming</t>
  </si>
  <si>
    <t xml:space="preserve">Prefunding Amount (%)</t>
  </si>
  <si>
    <t xml:space="preserve">Input - % of pool</t>
  </si>
  <si>
    <t xml:space="preserve">S&amp;P CREDIT ASSUMPTIONS</t>
  </si>
  <si>
    <t xml:space="preserve">Rating Level</t>
  </si>
  <si>
    <t xml:space="preserve">WAFF (%)</t>
  </si>
  <si>
    <t xml:space="preserve">WALS (%)</t>
  </si>
  <si>
    <t xml:space="preserve">Credit Coverage (%)</t>
  </si>
  <si>
    <t xml:space="preserve">Notes</t>
  </si>
  <si>
    <t xml:space="preserve">AAA</t>
  </si>
  <si>
    <t xml:space="preserve">Highest stress</t>
  </si>
  <si>
    <t xml:space="preserve">AA</t>
  </si>
  <si>
    <t xml:space="preserve">A</t>
  </si>
  <si>
    <t xml:space="preserve">BBB</t>
  </si>
  <si>
    <t xml:space="preserve">BB</t>
  </si>
  <si>
    <t xml:space="preserve">B</t>
  </si>
  <si>
    <t xml:space="preserve">Lowest stress</t>
  </si>
  <si>
    <t xml:space="preserve">NOTE COUPON ASSUMPTIONS</t>
  </si>
  <si>
    <t xml:space="preserve">Parameter</t>
  </si>
  <si>
    <t xml:space="preserve">Value</t>
  </si>
  <si>
    <t xml:space="preserve">Unit</t>
  </si>
  <si>
    <t xml:space="preserve">SONIA Rate</t>
  </si>
  <si>
    <t xml:space="preserve">%</t>
  </si>
  <si>
    <t xml:space="preserve">Current market rate</t>
  </si>
  <si>
    <t xml:space="preserve">Class A Margin (Pre-Step)</t>
  </si>
  <si>
    <t xml:space="preserve">Polaris benchmark</t>
  </si>
  <si>
    <t xml:space="preserve">Class A Margin (Post-Step)</t>
  </si>
  <si>
    <t xml:space="preserve">Step-up +41bps</t>
  </si>
  <si>
    <t xml:space="preserve">Class B Margin (Pre-Step)</t>
  </si>
  <si>
    <t xml:space="preserve">Class C Margin (Pre-Step)</t>
  </si>
  <si>
    <t xml:space="preserve">Class D Margin (Pre-Step)</t>
  </si>
  <si>
    <t xml:space="preserve">Class E Margin (Pre-Step)</t>
  </si>
  <si>
    <t xml:space="preserve">Class F Margin (Pre-Step)</t>
  </si>
  <si>
    <t xml:space="preserve">Class G Margin (Pre-Step)</t>
  </si>
  <si>
    <t xml:space="preserve">X1 Margin</t>
  </si>
  <si>
    <t xml:space="preserve">Risk retention</t>
  </si>
  <si>
    <t xml:space="preserve">X2 Margin</t>
  </si>
  <si>
    <t xml:space="preserve">RESERVE &amp; LIQUIDITY ASSUMPTIONS</t>
  </si>
  <si>
    <t xml:space="preserve">Liquidity Reserve Target</t>
  </si>
  <si>
    <t xml:space="preserve">% of A+B</t>
  </si>
  <si>
    <t xml:space="preserve">Polaris structure</t>
  </si>
  <si>
    <t xml:space="preserve">General Reserve Target</t>
  </si>
  <si>
    <t xml:space="preserve">% of rated notes</t>
  </si>
  <si>
    <t xml:space="preserve">If applicable</t>
  </si>
  <si>
    <t xml:space="preserve">Liquidity Facility Size</t>
  </si>
  <si>
    <t xml:space="preserve">If facility used</t>
  </si>
  <si>
    <t xml:space="preserve">Initial Reserve Funding</t>
  </si>
  <si>
    <t xml:space="preserve">Unfunded</t>
  </si>
  <si>
    <t xml:space="preserve">-</t>
  </si>
  <si>
    <t xml:space="preserve">Built from principal</t>
  </si>
  <si>
    <t xml:space="preserve">SWAP ASSUMPTIONS</t>
  </si>
  <si>
    <t xml:space="preserve">Fixed Swap Rate Paid</t>
  </si>
  <si>
    <t xml:space="preserve">Issuer pays fixed</t>
  </si>
  <si>
    <t xml:space="preserve">Float Received (SONIA)</t>
  </si>
  <si>
    <t xml:space="preserve">Issuer receives</t>
  </si>
  <si>
    <t xml:space="preserve">Swap Notional Decay</t>
  </si>
  <si>
    <t xml:space="preserve">Scheduled</t>
  </si>
  <si>
    <t xml:space="preserve">Per amortization</t>
  </si>
  <si>
    <t xml:space="preserve">CURRENT CAPITAL STRUCTURE</t>
  </si>
  <si>
    <t xml:space="preserve">Polaris 2025-3 PLC - As Closed</t>
  </si>
  <si>
    <t xml:space="preserve">Class</t>
  </si>
  <si>
    <t xml:space="preserve">Rating</t>
  </si>
  <si>
    <t xml:space="preserve">Amount (£m)</t>
  </si>
  <si>
    <t xml:space="preserve">% of Pool</t>
  </si>
  <si>
    <t xml:space="preserve">CE (%)</t>
  </si>
  <si>
    <t xml:space="preserve">Coupon (bps)</t>
  </si>
  <si>
    <t xml:space="preserve">Step-Up (bps)</t>
  </si>
  <si>
    <t xml:space="preserve">Deferrable</t>
  </si>
  <si>
    <t xml:space="preserve">PDL</t>
  </si>
  <si>
    <t xml:space="preserve">No</t>
  </si>
  <si>
    <t xml:space="preserve">Senior</t>
  </si>
  <si>
    <t xml:space="preserve">B-Dfrd</t>
  </si>
  <si>
    <t xml:space="preserve">Yes</t>
  </si>
  <si>
    <t xml:space="preserve">C-Dfrd</t>
  </si>
  <si>
    <t xml:space="preserve">A-</t>
  </si>
  <si>
    <t xml:space="preserve">D-Dfrd</t>
  </si>
  <si>
    <t xml:space="preserve">BBB-</t>
  </si>
  <si>
    <t xml:space="preserve">E-Dfrd</t>
  </si>
  <si>
    <t xml:space="preserve">BB+</t>
  </si>
  <si>
    <t xml:space="preserve">F-Dfrd</t>
  </si>
  <si>
    <t xml:space="preserve">B-</t>
  </si>
  <si>
    <t xml:space="preserve">G-Dfrd</t>
  </si>
  <si>
    <t xml:space="preserve">CCC</t>
  </si>
  <si>
    <t xml:space="preserve">Junior</t>
  </si>
  <si>
    <t xml:space="preserve">X1-Dfrd</t>
  </si>
  <si>
    <t xml:space="preserve">Risk Retention</t>
  </si>
  <si>
    <t xml:space="preserve">X2-Dfrd</t>
  </si>
  <si>
    <t xml:space="preserve">TOTAL</t>
  </si>
  <si>
    <t xml:space="preserve">KEY METRICS - CURRENT STRUCTURE</t>
  </si>
  <si>
    <t xml:space="preserve">AAA Credit Enhancement</t>
  </si>
  <si>
    <t xml:space="preserve">Subordination to AAA</t>
  </si>
  <si>
    <t xml:space="preserve">Senior Note %</t>
  </si>
  <si>
    <t xml:space="preserve">Class A as % of pool</t>
  </si>
  <si>
    <t xml:space="preserve">Weighted Avg Cost (Pre-Step)</t>
  </si>
  <si>
    <t xml:space="preserve">bps</t>
  </si>
  <si>
    <t xml:space="preserve">Weighted Avg Cost (Post-Step)</t>
  </si>
  <si>
    <t xml:space="preserve">Excess Spread (Initial)</t>
  </si>
  <si>
    <t xml:space="preserve">Per S&amp;P report</t>
  </si>
  <si>
    <t xml:space="preserve">Step-Up Date</t>
  </si>
  <si>
    <t xml:space="preserve">Sept 2029</t>
  </si>
  <si>
    <t xml:space="preserve">Legal Final Maturity</t>
  </si>
  <si>
    <t xml:space="preserve">Oct 2069</t>
  </si>
  <si>
    <t xml:space="preserve">PEER TRANSACTION COMPARISON</t>
  </si>
  <si>
    <t xml:space="preserve">UK RMBS Benchmark Analysis - S&amp;P Rated Transactions</t>
  </si>
  <si>
    <t xml:space="preserve">Transaction</t>
  </si>
  <si>
    <t xml:space="preserve">Date</t>
  </si>
  <si>
    <t xml:space="preserve">Pool (£m)</t>
  </si>
  <si>
    <t xml:space="preserve">AAA %</t>
  </si>
  <si>
    <t xml:space="preserve">AAA CE (%)</t>
  </si>
  <si>
    <t xml:space="preserve">Gen Reserve</t>
  </si>
  <si>
    <t xml:space="preserve">WAFF AAA</t>
  </si>
  <si>
    <t xml:space="preserve">WALS AAA</t>
  </si>
  <si>
    <t xml:space="preserve">Coverage AAA</t>
  </si>
  <si>
    <t xml:space="preserve">Originator Adj</t>
  </si>
  <si>
    <t xml:space="preserve">Polaris 2025-3</t>
  </si>
  <si>
    <t xml:space="preserve">Nov-25</t>
  </si>
  <si>
    <t xml:space="preserve">Subject Deal</t>
  </si>
  <si>
    <t xml:space="preserve">Polaris 2025-2</t>
  </si>
  <si>
    <t xml:space="preserve">Jun-25</t>
  </si>
  <si>
    <t xml:space="preserve">Prior Polaris</t>
  </si>
  <si>
    <t xml:space="preserve">Polaris 2025-1</t>
  </si>
  <si>
    <t xml:space="preserve">Jan-25</t>
  </si>
  <si>
    <t xml:space="preserve">Elstree 2025-2</t>
  </si>
  <si>
    <t xml:space="preserve">Oct-25</t>
  </si>
  <si>
    <t xml:space="preserve">Enra - BTL/OO Mix</t>
  </si>
  <si>
    <t xml:space="preserve">Elstree 2025-1</t>
  </si>
  <si>
    <t xml:space="preserve">May-25</t>
  </si>
  <si>
    <t xml:space="preserve">Braccan 2025-2</t>
  </si>
  <si>
    <t xml:space="preserve">FHL - BTL Focus</t>
  </si>
  <si>
    <t xml:space="preserve">Braccan 2025-1</t>
  </si>
  <si>
    <t xml:space="preserve">Together 2025-1ST1</t>
  </si>
  <si>
    <t xml:space="preserve">Sep-25</t>
  </si>
  <si>
    <t xml:space="preserve">Non-conforming</t>
  </si>
  <si>
    <t xml:space="preserve">COMPARATIVE ANALYSIS</t>
  </si>
  <si>
    <t xml:space="preserve">Metric</t>
  </si>
  <si>
    <t xml:space="preserve">Peer Average</t>
  </si>
  <si>
    <t xml:space="preserve">Variance</t>
  </si>
  <si>
    <t xml:space="preserve">Assessment</t>
  </si>
  <si>
    <t xml:space="preserve">WAFF AAA (%)</t>
  </si>
  <si>
    <t xml:space="preserve">WALS AAA (%)</t>
  </si>
  <si>
    <t xml:space="preserve">Coverage AAA (%)</t>
  </si>
  <si>
    <t xml:space="preserve">CAPITAL STRUCTURE OPTIMIZATION SCENARIOS</t>
  </si>
  <si>
    <t xml:space="preserve">Liability-Side Optimization Based on S&amp;P Rating Agency Feedback</t>
  </si>
  <si>
    <t xml:space="preserve">SCENARIO INPUTS</t>
  </si>
  <si>
    <t xml:space="preserve">Target AAA CE (%)</t>
  </si>
  <si>
    <t xml:space="preserve">Reduction target</t>
  </si>
  <si>
    <t xml:space="preserve">Target Pool Balance (£m)</t>
  </si>
  <si>
    <t xml:space="preserve">£m</t>
  </si>
  <si>
    <t xml:space="preserve">Fixed pool</t>
  </si>
  <si>
    <t xml:space="preserve">General Reserve (%)</t>
  </si>
  <si>
    <t xml:space="preserve">Add if beneficial</t>
  </si>
  <si>
    <t xml:space="preserve">Originator Adj Target</t>
  </si>
  <si>
    <t xml:space="preserve">x</t>
  </si>
  <si>
    <t xml:space="preserve">Negotiate down</t>
  </si>
  <si>
    <t xml:space="preserve">Max AAA Size (%)</t>
  </si>
  <si>
    <t xml:space="preserve">Increase from current</t>
  </si>
  <si>
    <t xml:space="preserve">SCENARIO COMPARISON</t>
  </si>
  <si>
    <t xml:space="preserve">Base Case</t>
  </si>
  <si>
    <t xml:space="preserve">Base %</t>
  </si>
  <si>
    <t xml:space="preserve">Base CE</t>
  </si>
  <si>
    <t xml:space="preserve">Reduce CE</t>
  </si>
  <si>
    <t xml:space="preserve">Opt 1 %</t>
  </si>
  <si>
    <t xml:space="preserve">Opt 1 CE</t>
  </si>
  <si>
    <t xml:space="preserve">Add Reserve</t>
  </si>
  <si>
    <t xml:space="preserve">Opt 2 %</t>
  </si>
  <si>
    <t xml:space="preserve">Opt 2 CE</t>
  </si>
  <si>
    <t xml:space="preserve">Combo</t>
  </si>
  <si>
    <t xml:space="preserve">Opt 3 %</t>
  </si>
  <si>
    <t xml:space="preserve">SCENARIO METRICS SUMMARY</t>
  </si>
  <si>
    <t xml:space="preserve">Scenario 1</t>
  </si>
  <si>
    <t xml:space="preserve">Scenario 2</t>
  </si>
  <si>
    <t xml:space="preserve">Scenario 3</t>
  </si>
  <si>
    <t xml:space="preserve">AAA Size (£m)</t>
  </si>
  <si>
    <t xml:space="preserve">AAA % of Total</t>
  </si>
  <si>
    <t xml:space="preserve">WAC Pre-Step (bps)</t>
  </si>
  <si>
    <t xml:space="preserve">WAC Post-Step (bps)</t>
  </si>
  <si>
    <t xml:space="preserve">CE Reduction (bps)</t>
  </si>
  <si>
    <t xml:space="preserve">Funding Cost Saving (£k)</t>
  </si>
  <si>
    <t xml:space="preserve">S&amp;P RATING CONSTRAINTS &amp; THRESHOLDS</t>
  </si>
  <si>
    <t xml:space="preserve">Minimum Credit Enhancement Requirements per Rating Level</t>
  </si>
  <si>
    <t xml:space="preserve">MINIMUM CE BY RATING</t>
  </si>
  <si>
    <t xml:space="preserve">Min CE (%)</t>
  </si>
  <si>
    <t xml:space="preserve">Coverage Req (%)</t>
  </si>
  <si>
    <t xml:space="preserve">Cushion (%)</t>
  </si>
  <si>
    <t xml:space="preserve">WAFF 30.82% x WALS 35.30%</t>
  </si>
  <si>
    <t xml:space="preserve">WAFF 20.67% x WALS 30.12%</t>
  </si>
  <si>
    <t xml:space="preserve">LIQUIDITY REQUIREMENTS</t>
  </si>
  <si>
    <t xml:space="preserve">Liquidity Source</t>
  </si>
  <si>
    <t xml:space="preserve">Size</t>
  </si>
  <si>
    <t xml:space="preserve">Trigger</t>
  </si>
  <si>
    <t xml:space="preserve">Reserve Fund</t>
  </si>
  <si>
    <t xml:space="preserve">1% of A+B</t>
  </si>
  <si>
    <t xml:space="preserve">N/A</t>
  </si>
  <si>
    <t xml:space="preserve">Must be fully funded</t>
  </si>
  <si>
    <t xml:space="preserve">When senior</t>
  </si>
  <si>
    <t xml:space="preserve">Shared with A</t>
  </si>
  <si>
    <t xml:space="preserve">C-Dfrd to G-Dfrd</t>
  </si>
  <si>
    <t xml:space="preserve">Principal Only</t>
  </si>
  <si>
    <t xml:space="preserve">No dedicated reserve</t>
  </si>
  <si>
    <t xml:space="preserve">X1/X2</t>
  </si>
  <si>
    <t xml:space="preserve">None</t>
  </si>
  <si>
    <t xml:space="preserve">Deferred to maturity</t>
  </si>
  <si>
    <t xml:space="preserve">STRUCTURAL FEATURES - CE IMPACT</t>
  </si>
  <si>
    <t xml:space="preserve">Feature</t>
  </si>
  <si>
    <t xml:space="preserve">Impact on CE</t>
  </si>
  <si>
    <t xml:space="preserve">Peer Best</t>
  </si>
  <si>
    <t xml:space="preserve">Delta</t>
  </si>
  <si>
    <t xml:space="preserve">General Reserve Fund</t>
  </si>
  <si>
    <t xml:space="preserve">+0.35% CE</t>
  </si>
  <si>
    <t xml:space="preserve">Yes (Braccan)</t>
  </si>
  <si>
    <t xml:space="preserve">-0.35%</t>
  </si>
  <si>
    <t xml:space="preserve">Prefunding</t>
  </si>
  <si>
    <t xml:space="preserve">+WAFF Adj</t>
  </si>
  <si>
    <t xml:space="preserve">24.3%</t>
  </si>
  <si>
    <t xml:space="preserve">0-21%</t>
  </si>
  <si>
    <t xml:space="preserve">Higher</t>
  </si>
  <si>
    <t xml:space="preserve">Shared Ownership %</t>
  </si>
  <si>
    <t xml:space="preserve">+LTV Adj</t>
  </si>
  <si>
    <t xml:space="preserve">7.52%</t>
  </si>
  <si>
    <t xml:space="preserve">0-5%</t>
  </si>
  <si>
    <t xml:space="preserve">Originator Adjustment</t>
  </si>
  <si>
    <t xml:space="preserve">WAFF Driver</t>
  </si>
  <si>
    <t xml:space="preserve">1.15x</t>
  </si>
  <si>
    <t xml:space="preserve">1.06-1.08x</t>
  </si>
  <si>
    <t xml:space="preserve">+7-9%</t>
  </si>
  <si>
    <t xml:space="preserve">Liquidity Reserve Initial</t>
  </si>
  <si>
    <t xml:space="preserve">Liquidity Risk</t>
  </si>
  <si>
    <t xml:space="preserve">Funded</t>
  </si>
  <si>
    <t xml:space="preserve">Negative</t>
  </si>
  <si>
    <t xml:space="preserve">Sequential Waterfall</t>
  </si>
  <si>
    <t xml:space="preserve">CE Build</t>
  </si>
  <si>
    <t xml:space="preserve">Neutral</t>
  </si>
  <si>
    <t xml:space="preserve">Turbo Feature</t>
  </si>
  <si>
    <t xml:space="preserve">Delever Speed</t>
  </si>
  <si>
    <t xml:space="preserve">Yes (Elstree)</t>
  </si>
  <si>
    <t xml:space="preserve">Slower</t>
  </si>
  <si>
    <t xml:space="preserve">WEIGHTED AVERAGE COST CALCULATOR</t>
  </si>
  <si>
    <t xml:space="preserve">Pre and Post Step-Up Funding Cost Analysis</t>
  </si>
  <si>
    <t xml:space="preserve">PRICING INPUTS</t>
  </si>
  <si>
    <t xml:space="preserve">SONIA Rate (%)</t>
  </si>
  <si>
    <t xml:space="preserve">Current</t>
  </si>
  <si>
    <t xml:space="preserve">Swap Fixed Rate (%)</t>
  </si>
  <si>
    <t xml:space="preserve">Issuer pays</t>
  </si>
  <si>
    <t xml:space="preserve">COST BY TRANCHE</t>
  </si>
  <si>
    <t xml:space="preserve">Weight (%)</t>
  </si>
  <si>
    <t xml:space="preserve">Pre-Step (bps)</t>
  </si>
  <si>
    <t xml:space="preserve">All-in Pre (%)</t>
  </si>
  <si>
    <t xml:space="preserve">Post-Step (bps)</t>
  </si>
  <si>
    <t xml:space="preserve">All-in Post (%)</t>
  </si>
  <si>
    <t xml:space="preserve">Annual Cost (£k)</t>
  </si>
  <si>
    <t xml:space="preserve">TOTAL/WAC</t>
  </si>
  <si>
    <t xml:space="preserve">FUNDING COST SUMMARY</t>
  </si>
  <si>
    <t xml:space="preserve">WAC Pre-Step-Up (bps)</t>
  </si>
  <si>
    <t xml:space="preserve">WAC Post-Step-Up (bps)</t>
  </si>
  <si>
    <t xml:space="preserve">All-in Cost Pre (% pa)</t>
  </si>
  <si>
    <t xml:space="preserve">SONIA + WAC margin</t>
  </si>
  <si>
    <t xml:space="preserve">All-in Cost Post (% pa)</t>
  </si>
  <si>
    <t xml:space="preserve">Annual Interest Cost (£m)</t>
  </si>
  <si>
    <t xml:space="preserve">Pre step-up</t>
  </si>
  <si>
    <t xml:space="preserve">Step-Up Cost Increase (£k)</t>
  </si>
  <si>
    <t xml:space="preserve">£k pa</t>
  </si>
  <si>
    <t xml:space="preserve">If not called</t>
  </si>
  <si>
    <t xml:space="preserve">SENSITIVITY ANALYSIS</t>
  </si>
  <si>
    <t xml:space="preserve">Impact of Key Variables on Credit Enhancement Requirements</t>
  </si>
  <si>
    <t xml:space="preserve">WAFF SENSITIVITY - AAA CE IMPACT</t>
  </si>
  <si>
    <t xml:space="preserve">WAFF Stress</t>
  </si>
  <si>
    <t xml:space="preserve">Coverage (%)</t>
  </si>
  <si>
    <t xml:space="preserve">CE Required (%)</t>
  </si>
  <si>
    <t xml:space="preserve">vs Base</t>
  </si>
  <si>
    <t xml:space="preserve">WAFF +10%</t>
  </si>
  <si>
    <t xml:space="preserve">WAFF +20%</t>
  </si>
  <si>
    <t xml:space="preserve">WAFF +30%</t>
  </si>
  <si>
    <t xml:space="preserve">WAFF -10%</t>
  </si>
  <si>
    <t xml:space="preserve">WAFF -15%</t>
  </si>
  <si>
    <t xml:space="preserve">WALS SENSITIVITY - AAA CE IMPACT</t>
  </si>
  <si>
    <t xml:space="preserve">WALS +10%</t>
  </si>
  <si>
    <t xml:space="preserve">WALS +20%</t>
  </si>
  <si>
    <t xml:space="preserve">WALS +30%</t>
  </si>
  <si>
    <t xml:space="preserve">WALS -10%</t>
  </si>
  <si>
    <t xml:space="preserve">WALS -15%</t>
  </si>
  <si>
    <t xml:space="preserve">ORIGINATOR ADJUSTMENT SENSITIVITY</t>
  </si>
  <si>
    <t xml:space="preserve">Base WAFF</t>
  </si>
  <si>
    <t xml:space="preserve">Adjusted WAFF</t>
  </si>
  <si>
    <t xml:space="preserve">Coverage</t>
  </si>
  <si>
    <t xml:space="preserve">CE Required</t>
  </si>
  <si>
    <t xml:space="preserve">CE Saving</t>
  </si>
  <si>
    <t xml:space="preserve">CAPITAL STRUCTURE OPTIMIZATION SUMMARY</t>
  </si>
  <si>
    <t xml:space="preserve">Actionable Recommendations Based on S&amp;P Rating Feedback</t>
  </si>
  <si>
    <t xml:space="preserve">KEY FINDINGS</t>
  </si>
  <si>
    <t xml:space="preserve">Finding</t>
  </si>
  <si>
    <t xml:space="preserve">Impact</t>
  </si>
  <si>
    <t xml:space="preserve">Priority</t>
  </si>
  <si>
    <t xml:space="preserve">Excess AAA CE vs Peers</t>
  </si>
  <si>
    <t xml:space="preserve">+1.70% vs peer average</t>
  </si>
  <si>
    <t xml:space="preserve">High</t>
  </si>
  <si>
    <t xml:space="preserve">High Originator Adjustment (1.15x)</t>
  </si>
  <si>
    <t xml:space="preserve">+7% vs peer best (1.08x)</t>
  </si>
  <si>
    <t xml:space="preserve">No General Reserve Fund</t>
  </si>
  <si>
    <t xml:space="preserve">-0.35% CE benefit foregone</t>
  </si>
  <si>
    <t xml:space="preserve">Medium</t>
  </si>
  <si>
    <t xml:space="preserve">High Prefunding (24.3%)</t>
  </si>
  <si>
    <t xml:space="preserve">Elevated WAFF adjustment</t>
  </si>
  <si>
    <t xml:space="preserve">Shared Ownership Exposure (7.52%)</t>
  </si>
  <si>
    <t xml:space="preserve">Higher LTV adjustment</t>
  </si>
  <si>
    <t xml:space="preserve">Low</t>
  </si>
  <si>
    <t xml:space="preserve">Unfunded Initial Reserve</t>
  </si>
  <si>
    <t xml:space="preserve">Liquidity risk at close</t>
  </si>
  <si>
    <t xml:space="preserve">OPTIMIZATION RECOMMENDATIONS</t>
  </si>
  <si>
    <t xml:space="preserve">#</t>
  </si>
  <si>
    <t xml:space="preserve">Recommendation</t>
  </si>
  <si>
    <t xml:space="preserve">CE Impact</t>
  </si>
  <si>
    <t xml:space="preserve">Cost Impact</t>
  </si>
  <si>
    <t xml:space="preserve">Feasibility</t>
  </si>
  <si>
    <t xml:space="preserve">Timeline</t>
  </si>
  <si>
    <t xml:space="preserve">Negotiate Originator Adjustment to 1.10x</t>
  </si>
  <si>
    <t xml:space="preserve">-0.40% CE</t>
  </si>
  <si>
    <t xml:space="preserve">Pre-close</t>
  </si>
  <si>
    <t xml:space="preserve">Reduce Prefunding to &lt;20%</t>
  </si>
  <si>
    <t xml:space="preserve">-0.20% CE</t>
  </si>
  <si>
    <t xml:space="preserve">Add 0.35% General Reserve Fund</t>
  </si>
  <si>
    <t xml:space="preserve">+0.35% CE Credit</t>
  </si>
  <si>
    <t xml:space="preserve">£1.5m upfront</t>
  </si>
  <si>
    <t xml:space="preserve">Structural</t>
  </si>
  <si>
    <t xml:space="preserve">Increase AAA Tranche to 89%</t>
  </si>
  <si>
    <t xml:space="preserve">Optimize WAC</t>
  </si>
  <si>
    <t xml:space="preserve">-5bps WAC</t>
  </si>
  <si>
    <t xml:space="preserve">Reduce Shared Ownership to &lt;5%</t>
  </si>
  <si>
    <t xml:space="preserve">-0.15% WAFF</t>
  </si>
  <si>
    <t xml:space="preserve">Pool selection</t>
  </si>
  <si>
    <t xml:space="preserve">Collateral</t>
  </si>
  <si>
    <t xml:space="preserve">Fund Reserve at Close</t>
  </si>
  <si>
    <t xml:space="preserve">Reduce liquidity risk</t>
  </si>
  <si>
    <t xml:space="preserve">Timing only</t>
  </si>
  <si>
    <t xml:space="preserve">Operational</t>
  </si>
  <si>
    <t xml:space="preserve">QUANTIFIED OPTIMIZATION BENEFITS</t>
  </si>
  <si>
    <t xml:space="preserve">Optimized</t>
  </si>
  <si>
    <t xml:space="preserve">Benefit</t>
  </si>
  <si>
    <t xml:space="preserve">12.25%</t>
  </si>
  <si>
    <t xml:space="preserve">10.50%</t>
  </si>
  <si>
    <t xml:space="preserve">-175 bps</t>
  </si>
  <si>
    <t xml:space="preserve">AAA Tranche Size</t>
  </si>
  <si>
    <t xml:space="preserve">87.75%</t>
  </si>
  <si>
    <t xml:space="preserve">89.50%</t>
  </si>
  <si>
    <t xml:space="preserve">+1.75%</t>
  </si>
  <si>
    <t xml:space="preserve">~120</t>
  </si>
  <si>
    <t xml:space="preserve">~115</t>
  </si>
  <si>
    <t xml:space="preserve">-5 bps</t>
  </si>
  <si>
    <t xml:space="preserve">Annual Funding Cost (£m)</t>
  </si>
  <si>
    <t xml:space="preserve">~19.5</t>
  </si>
  <si>
    <t xml:space="preserve">~19.0</t>
  </si>
  <si>
    <t xml:space="preserve">-£0.5m</t>
  </si>
  <si>
    <t xml:space="preserve">1.10x</t>
  </si>
  <si>
    <t xml:space="preserve">-0.05x</t>
  </si>
  <si>
    <t xml:space="preserve">REFERENCE DATA TABLES</t>
  </si>
  <si>
    <t xml:space="preserve">S&amp;P RATING SCALE</t>
  </si>
  <si>
    <t xml:space="preserve">Category</t>
  </si>
  <si>
    <t xml:space="preserve">Base FF Mult</t>
  </si>
  <si>
    <t xml:space="preserve">Prime</t>
  </si>
  <si>
    <t xml:space="preserve">12.0% / 1.75%</t>
  </si>
  <si>
    <t xml:space="preserve">AA+</t>
  </si>
  <si>
    <t xml:space="preserve">High Grade</t>
  </si>
  <si>
    <t xml:space="preserve">AA-</t>
  </si>
  <si>
    <t xml:space="preserve">A+</t>
  </si>
  <si>
    <t xml:space="preserve">Upper Medium</t>
  </si>
  <si>
    <t xml:space="preserve">BBB+</t>
  </si>
  <si>
    <t xml:space="preserve">Lower Medium</t>
  </si>
  <si>
    <t xml:space="preserve">Non-Investment</t>
  </si>
  <si>
    <t xml:space="preserve">Speculative</t>
  </si>
  <si>
    <t xml:space="preserve">Base</t>
  </si>
  <si>
    <t xml:space="preserve">WAFF ADJUSTMENT FACTORS</t>
  </si>
  <si>
    <t xml:space="preserve">Factor</t>
  </si>
  <si>
    <t xml:space="preserve">Range</t>
  </si>
  <si>
    <t xml:space="preserve">Application</t>
  </si>
  <si>
    <t xml:space="preserve">LTV</t>
  </si>
  <si>
    <t xml:space="preserve">0.5x - 2.5x</t>
  </si>
  <si>
    <t xml:space="preserve">Per LTV bucket</t>
  </si>
  <si>
    <t xml:space="preserve">Income Multiple</t>
  </si>
  <si>
    <t xml:space="preserve">1.0x - 1.3x</t>
  </si>
  <si>
    <t xml:space="preserve">LTI &gt; 3.25x</t>
  </si>
  <si>
    <t xml:space="preserve">Buy-to-Let</t>
  </si>
  <si>
    <t xml:space="preserve">1.25x - 1.7x</t>
  </si>
  <si>
    <t xml:space="preserve">By DSCR</t>
  </si>
  <si>
    <t xml:space="preserve">CCJ History</t>
  </si>
  <si>
    <t xml:space="preserve">1.05x - 1.5x</t>
  </si>
  <si>
    <t xml:space="preserve">By count/age</t>
  </si>
  <si>
    <t xml:space="preserve">Payment Shock</t>
  </si>
  <si>
    <t xml:space="preserve">1.1x - 1.2x</t>
  </si>
  <si>
    <t xml:space="preserve">Fixed to float</t>
  </si>
  <si>
    <t xml:space="preserve">Interest Only</t>
  </si>
  <si>
    <t xml:space="preserve">1.02x - 1.05x</t>
  </si>
  <si>
    <t xml:space="preserve">OO only</t>
  </si>
  <si>
    <t xml:space="preserve">Self-Employed</t>
  </si>
  <si>
    <t xml:space="preserve">1.03x - 1.05x</t>
  </si>
  <si>
    <t xml:space="preserve">First Time Buyer</t>
  </si>
  <si>
    <t xml:space="preserve">&lt;18m seasoning</t>
  </si>
  <si>
    <t xml:space="preserve">Originator</t>
  </si>
  <si>
    <t xml:space="preserve">1.00x - 1.30x</t>
  </si>
  <si>
    <t xml:space="preserve">Pool level</t>
  </si>
  <si>
    <t xml:space="preserve">+0.05x</t>
  </si>
  <si>
    <t xml:space="preserve">Additional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</si>
</sst>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0.00%"/>
    <numFmt numFmtId="167" formatCode="#,##0.000"/>
    <numFmt numFmtId="168" formatCode="0.00"/>
    <numFmt numFmtId="169" formatCode="#,##0.0"/>
    <numFmt numFmtId="170" formatCode="0.000"/>
    <numFmt numFmtId="171" formatCode="\+0.00;\-0.00;0"/>
    <numFmt numFmtId="172" formatCode="\+0.00%;\-0.00%;0%"/>
    <numFmt numFmtId="173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99"/>
        <bgColor rgb="FFFFFFCC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8"/>
    <col collapsed="false" customWidth="true" hidden="false" outlineLevel="0" max="5" min="5" style="0" width="2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0" t="s">
        <v>3</v>
      </c>
      <c r="B5" s="4" t="s">
        <v>4</v>
      </c>
      <c r="C5" s="5" t="s">
        <v>5</v>
      </c>
    </row>
    <row r="6" customFormat="false" ht="15" hidden="false" customHeight="false" outlineLevel="0" collapsed="false">
      <c r="A6" s="0" t="s">
        <v>6</v>
      </c>
      <c r="B6" s="6" t="n">
        <v>45967</v>
      </c>
      <c r="C6" s="5" t="s">
        <v>5</v>
      </c>
    </row>
    <row r="7" customFormat="false" ht="15" hidden="false" customHeight="false" outlineLevel="0" collapsed="false">
      <c r="A7" s="0" t="s">
        <v>7</v>
      </c>
      <c r="B7" s="4" t="n">
        <v>430</v>
      </c>
      <c r="C7" s="5" t="s">
        <v>8</v>
      </c>
    </row>
    <row r="8" customFormat="false" ht="15" hidden="false" customHeight="false" outlineLevel="0" collapsed="false">
      <c r="A8" s="0" t="s">
        <v>9</v>
      </c>
      <c r="B8" s="0" t="n">
        <v>447.2</v>
      </c>
      <c r="C8" s="0" t="s">
        <v>10</v>
      </c>
    </row>
    <row r="9" customFormat="false" ht="15" hidden="false" customHeight="false" outlineLevel="0" collapsed="false">
      <c r="A9" s="0" t="s">
        <v>11</v>
      </c>
      <c r="B9" s="4" t="s">
        <v>12</v>
      </c>
      <c r="C9" s="5" t="s">
        <v>5</v>
      </c>
    </row>
    <row r="10" customFormat="false" ht="15" hidden="false" customHeight="false" outlineLevel="0" collapsed="false">
      <c r="A10" s="0" t="s">
        <v>13</v>
      </c>
      <c r="B10" s="4" t="s">
        <v>14</v>
      </c>
      <c r="C10" s="5" t="s">
        <v>5</v>
      </c>
    </row>
    <row r="11" customFormat="false" ht="15" hidden="false" customHeight="false" outlineLevel="0" collapsed="false">
      <c r="A11" s="0" t="s">
        <v>15</v>
      </c>
      <c r="B11" s="4" t="n">
        <v>24.3</v>
      </c>
      <c r="C11" s="5" t="s">
        <v>16</v>
      </c>
    </row>
    <row r="14" customFormat="false" ht="15" hidden="false" customHeight="false" outlineLevel="0" collapsed="false">
      <c r="A14" s="3" t="s">
        <v>17</v>
      </c>
      <c r="B14" s="3"/>
      <c r="C14" s="3"/>
      <c r="D14" s="3"/>
      <c r="E14" s="3"/>
    </row>
    <row r="15" customFormat="false" ht="15" hidden="false" customHeight="false" outlineLevel="0" collapsed="false">
      <c r="A15" s="7" t="s">
        <v>18</v>
      </c>
      <c r="B15" s="7" t="s">
        <v>19</v>
      </c>
      <c r="C15" s="7" t="s">
        <v>20</v>
      </c>
      <c r="D15" s="7" t="s">
        <v>21</v>
      </c>
      <c r="E15" s="7" t="s">
        <v>22</v>
      </c>
    </row>
    <row r="16" customFormat="false" ht="15" hidden="false" customHeight="false" outlineLevel="0" collapsed="false">
      <c r="A16" s="0" t="s">
        <v>23</v>
      </c>
      <c r="B16" s="4" t="n">
        <v>30.82</v>
      </c>
      <c r="C16" s="4" t="n">
        <v>35.3</v>
      </c>
      <c r="D16" s="8" t="n">
        <f aca="false">B16*C16/100</f>
        <v>10.87946</v>
      </c>
      <c r="E16" s="5" t="s">
        <v>24</v>
      </c>
    </row>
    <row r="17" customFormat="false" ht="15" hidden="false" customHeight="false" outlineLevel="0" collapsed="false">
      <c r="A17" s="0" t="s">
        <v>25</v>
      </c>
      <c r="B17" s="4" t="n">
        <v>20.67</v>
      </c>
      <c r="C17" s="4" t="n">
        <v>30.12</v>
      </c>
      <c r="D17" s="8" t="n">
        <f aca="false">B17*C17/100</f>
        <v>6.225804</v>
      </c>
    </row>
    <row r="18" customFormat="false" ht="15" hidden="false" customHeight="false" outlineLevel="0" collapsed="false">
      <c r="A18" s="0" t="s">
        <v>26</v>
      </c>
      <c r="B18" s="4" t="n">
        <v>15.52</v>
      </c>
      <c r="C18" s="4" t="n">
        <v>21.8</v>
      </c>
      <c r="D18" s="8" t="n">
        <f aca="false">B18*C18/100</f>
        <v>3.38336</v>
      </c>
    </row>
    <row r="19" customFormat="false" ht="15" hidden="false" customHeight="false" outlineLevel="0" collapsed="false">
      <c r="A19" s="0" t="s">
        <v>27</v>
      </c>
      <c r="B19" s="4" t="n">
        <v>10.35</v>
      </c>
      <c r="C19" s="4" t="n">
        <v>17.24</v>
      </c>
      <c r="D19" s="8" t="n">
        <f aca="false">B19*C19/100</f>
        <v>1.78434</v>
      </c>
    </row>
    <row r="20" customFormat="false" ht="15" hidden="false" customHeight="false" outlineLevel="0" collapsed="false">
      <c r="A20" s="0" t="s">
        <v>28</v>
      </c>
      <c r="B20" s="4" t="n">
        <v>5.17</v>
      </c>
      <c r="C20" s="4" t="n">
        <v>14.08</v>
      </c>
      <c r="D20" s="8" t="n">
        <f aca="false">B20*C20/100</f>
        <v>0.727936</v>
      </c>
    </row>
    <row r="21" customFormat="false" ht="15" hidden="false" customHeight="false" outlineLevel="0" collapsed="false">
      <c r="A21" s="0" t="s">
        <v>29</v>
      </c>
      <c r="B21" s="4" t="n">
        <v>3.88</v>
      </c>
      <c r="C21" s="4" t="n">
        <v>11.28</v>
      </c>
      <c r="D21" s="8" t="n">
        <f aca="false">B21*C21/100</f>
        <v>0.437664</v>
      </c>
      <c r="E21" s="5" t="s">
        <v>30</v>
      </c>
    </row>
    <row r="24" customFormat="false" ht="15" hidden="false" customHeight="false" outlineLevel="0" collapsed="false">
      <c r="A24" s="3" t="s">
        <v>31</v>
      </c>
      <c r="B24" s="3"/>
      <c r="C24" s="3"/>
      <c r="D24" s="3"/>
      <c r="E24" s="3"/>
      <c r="F24" s="3"/>
    </row>
    <row r="25" customFormat="false" ht="15" hidden="false" customHeight="false" outlineLevel="0" collapsed="false">
      <c r="A25" s="7" t="s">
        <v>32</v>
      </c>
      <c r="B25" s="7" t="s">
        <v>33</v>
      </c>
      <c r="C25" s="7" t="s">
        <v>34</v>
      </c>
      <c r="D25" s="7" t="s">
        <v>22</v>
      </c>
    </row>
    <row r="26" customFormat="false" ht="15" hidden="false" customHeight="false" outlineLevel="0" collapsed="false">
      <c r="A26" s="0" t="s">
        <v>35</v>
      </c>
      <c r="B26" s="4" t="n">
        <v>3.97</v>
      </c>
      <c r="C26" s="5" t="s">
        <v>36</v>
      </c>
      <c r="D26" s="5" t="s">
        <v>37</v>
      </c>
    </row>
    <row r="27" customFormat="false" ht="15" hidden="false" customHeight="false" outlineLevel="0" collapsed="false">
      <c r="A27" s="0" t="s">
        <v>38</v>
      </c>
      <c r="B27" s="4" t="n">
        <v>0.82</v>
      </c>
      <c r="C27" s="5" t="s">
        <v>36</v>
      </c>
      <c r="D27" s="5" t="s">
        <v>39</v>
      </c>
    </row>
    <row r="28" customFormat="false" ht="15" hidden="false" customHeight="false" outlineLevel="0" collapsed="false">
      <c r="A28" s="0" t="s">
        <v>40</v>
      </c>
      <c r="B28" s="4" t="n">
        <v>1.23</v>
      </c>
      <c r="C28" s="5" t="s">
        <v>36</v>
      </c>
      <c r="D28" s="5" t="s">
        <v>41</v>
      </c>
    </row>
    <row r="29" customFormat="false" ht="15" hidden="false" customHeight="false" outlineLevel="0" collapsed="false">
      <c r="A29" s="0" t="s">
        <v>42</v>
      </c>
      <c r="B29" s="4" t="n">
        <v>1.1</v>
      </c>
      <c r="C29" s="5" t="s">
        <v>36</v>
      </c>
    </row>
    <row r="30" customFormat="false" ht="15" hidden="false" customHeight="false" outlineLevel="0" collapsed="false">
      <c r="A30" s="0" t="s">
        <v>43</v>
      </c>
      <c r="B30" s="4" t="n">
        <v>1.4</v>
      </c>
      <c r="C30" s="5" t="s">
        <v>36</v>
      </c>
    </row>
    <row r="31" customFormat="false" ht="15" hidden="false" customHeight="false" outlineLevel="0" collapsed="false">
      <c r="A31" s="0" t="s">
        <v>44</v>
      </c>
      <c r="B31" s="4" t="n">
        <v>1.65</v>
      </c>
      <c r="C31" s="5" t="s">
        <v>36</v>
      </c>
    </row>
    <row r="32" customFormat="false" ht="15" hidden="false" customHeight="false" outlineLevel="0" collapsed="false">
      <c r="A32" s="0" t="s">
        <v>45</v>
      </c>
      <c r="B32" s="4" t="n">
        <v>2.48</v>
      </c>
      <c r="C32" s="5" t="s">
        <v>36</v>
      </c>
    </row>
    <row r="33" customFormat="false" ht="15" hidden="false" customHeight="false" outlineLevel="0" collapsed="false">
      <c r="A33" s="0" t="s">
        <v>46</v>
      </c>
      <c r="B33" s="4" t="n">
        <v>3.98</v>
      </c>
      <c r="C33" s="5" t="s">
        <v>36</v>
      </c>
    </row>
    <row r="34" customFormat="false" ht="15" hidden="false" customHeight="false" outlineLevel="0" collapsed="false">
      <c r="A34" s="0" t="s">
        <v>47</v>
      </c>
      <c r="B34" s="4" t="n">
        <v>5.48</v>
      </c>
      <c r="C34" s="5" t="s">
        <v>36</v>
      </c>
    </row>
    <row r="35" customFormat="false" ht="15" hidden="false" customHeight="false" outlineLevel="0" collapsed="false">
      <c r="A35" s="0" t="s">
        <v>48</v>
      </c>
      <c r="B35" s="4" t="n">
        <v>3.59</v>
      </c>
      <c r="C35" s="5" t="s">
        <v>36</v>
      </c>
      <c r="D35" s="5" t="s">
        <v>49</v>
      </c>
    </row>
    <row r="36" customFormat="false" ht="15" hidden="false" customHeight="false" outlineLevel="0" collapsed="false">
      <c r="A36" s="0" t="s">
        <v>50</v>
      </c>
      <c r="B36" s="4" t="n">
        <v>3.59</v>
      </c>
      <c r="C36" s="5" t="s">
        <v>36</v>
      </c>
      <c r="D36" s="5" t="s">
        <v>49</v>
      </c>
    </row>
    <row r="39" customFormat="false" ht="15" hidden="false" customHeight="false" outlineLevel="0" collapsed="false">
      <c r="A39" s="3" t="s">
        <v>51</v>
      </c>
      <c r="B39" s="3"/>
      <c r="C39" s="3"/>
      <c r="D39" s="3"/>
      <c r="E39" s="3"/>
    </row>
    <row r="40" customFormat="false" ht="15" hidden="false" customHeight="false" outlineLevel="0" collapsed="false">
      <c r="A40" s="7" t="s">
        <v>32</v>
      </c>
      <c r="B40" s="7" t="s">
        <v>33</v>
      </c>
      <c r="C40" s="7" t="s">
        <v>34</v>
      </c>
      <c r="D40" s="7" t="s">
        <v>22</v>
      </c>
    </row>
    <row r="41" customFormat="false" ht="15" hidden="false" customHeight="false" outlineLevel="0" collapsed="false">
      <c r="A41" s="0" t="s">
        <v>52</v>
      </c>
      <c r="B41" s="4" t="n">
        <v>1</v>
      </c>
      <c r="C41" s="5" t="s">
        <v>53</v>
      </c>
      <c r="D41" s="5" t="s">
        <v>54</v>
      </c>
    </row>
    <row r="42" customFormat="false" ht="15" hidden="false" customHeight="false" outlineLevel="0" collapsed="false">
      <c r="A42" s="0" t="s">
        <v>55</v>
      </c>
      <c r="B42" s="4" t="n">
        <v>0.35</v>
      </c>
      <c r="C42" s="5" t="s">
        <v>56</v>
      </c>
      <c r="D42" s="5" t="s">
        <v>57</v>
      </c>
    </row>
    <row r="43" customFormat="false" ht="15" hidden="false" customHeight="false" outlineLevel="0" collapsed="false">
      <c r="A43" s="0" t="s">
        <v>58</v>
      </c>
      <c r="B43" s="4" t="n">
        <v>1.1</v>
      </c>
      <c r="C43" s="5" t="s">
        <v>53</v>
      </c>
      <c r="D43" s="5" t="s">
        <v>59</v>
      </c>
    </row>
    <row r="44" customFormat="false" ht="15" hidden="false" customHeight="false" outlineLevel="0" collapsed="false">
      <c r="A44" s="0" t="s">
        <v>60</v>
      </c>
      <c r="B44" s="0" t="s">
        <v>61</v>
      </c>
      <c r="C44" s="0" t="s">
        <v>62</v>
      </c>
      <c r="D44" s="0" t="s">
        <v>63</v>
      </c>
    </row>
    <row r="47" customFormat="false" ht="15" hidden="false" customHeight="false" outlineLevel="0" collapsed="false">
      <c r="A47" s="3" t="s">
        <v>64</v>
      </c>
      <c r="B47" s="3"/>
      <c r="C47" s="3"/>
      <c r="D47" s="3"/>
      <c r="E47" s="3"/>
    </row>
    <row r="48" customFormat="false" ht="15" hidden="false" customHeight="false" outlineLevel="0" collapsed="false">
      <c r="A48" s="7" t="s">
        <v>32</v>
      </c>
      <c r="B48" s="7" t="s">
        <v>33</v>
      </c>
      <c r="C48" s="7" t="s">
        <v>34</v>
      </c>
      <c r="D48" s="7" t="s">
        <v>22</v>
      </c>
    </row>
    <row r="49" customFormat="false" ht="15" hidden="false" customHeight="false" outlineLevel="0" collapsed="false">
      <c r="A49" s="0" t="s">
        <v>65</v>
      </c>
      <c r="B49" s="4" t="n">
        <v>3.8</v>
      </c>
      <c r="C49" s="5" t="s">
        <v>36</v>
      </c>
      <c r="D49" s="5" t="s">
        <v>66</v>
      </c>
    </row>
    <row r="50" customFormat="false" ht="15" hidden="false" customHeight="false" outlineLevel="0" collapsed="false">
      <c r="A50" s="0" t="s">
        <v>67</v>
      </c>
      <c r="B50" s="4" t="n">
        <v>3.97</v>
      </c>
      <c r="C50" s="5" t="s">
        <v>36</v>
      </c>
      <c r="D50" s="5" t="s">
        <v>68</v>
      </c>
    </row>
    <row r="51" customFormat="false" ht="15" hidden="false" customHeight="false" outlineLevel="0" collapsed="false">
      <c r="A51" s="0" t="s">
        <v>69</v>
      </c>
      <c r="B51" s="0" t="s">
        <v>70</v>
      </c>
      <c r="C51" s="0" t="s">
        <v>62</v>
      </c>
      <c r="D51" s="0" t="s">
        <v>71</v>
      </c>
    </row>
  </sheetData>
  <mergeCells count="6">
    <mergeCell ref="A1:G1"/>
    <mergeCell ref="A4:C4"/>
    <mergeCell ref="A14:E14"/>
    <mergeCell ref="A24:F24"/>
    <mergeCell ref="A39:E39"/>
    <mergeCell ref="A47:E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0" min="10" style="0" width="18"/>
  </cols>
  <sheetData>
    <row r="1" customFormat="false" ht="19.7" hidden="false" customHeight="false" outlineLevel="0" collapsed="false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73</v>
      </c>
    </row>
    <row r="4" customFormat="false" ht="28.35" hidden="false" customHeight="false" outlineLevel="0" collapsed="false">
      <c r="A4" s="9" t="s">
        <v>74</v>
      </c>
      <c r="B4" s="9" t="s">
        <v>75</v>
      </c>
      <c r="C4" s="9" t="s">
        <v>76</v>
      </c>
      <c r="D4" s="9" t="s">
        <v>77</v>
      </c>
      <c r="E4" s="9" t="s">
        <v>78</v>
      </c>
      <c r="F4" s="9" t="s">
        <v>79</v>
      </c>
      <c r="G4" s="9" t="s">
        <v>80</v>
      </c>
      <c r="H4" s="9" t="s">
        <v>81</v>
      </c>
      <c r="I4" s="9" t="s">
        <v>82</v>
      </c>
      <c r="J4" s="9" t="s">
        <v>22</v>
      </c>
    </row>
    <row r="5" customFormat="false" ht="15" hidden="false" customHeight="false" outlineLevel="0" collapsed="false">
      <c r="A5" s="10" t="s">
        <v>26</v>
      </c>
      <c r="B5" s="10" t="s">
        <v>23</v>
      </c>
      <c r="C5" s="11" t="n">
        <v>377.325</v>
      </c>
      <c r="D5" s="12" t="n">
        <f aca="false">C5/Inputs_Assumptions!B7</f>
        <v>0.8775</v>
      </c>
      <c r="E5" s="13" t="n">
        <v>12.25</v>
      </c>
      <c r="F5" s="10" t="n">
        <v>82</v>
      </c>
      <c r="G5" s="10" t="n">
        <v>123</v>
      </c>
      <c r="H5" s="10" t="s">
        <v>83</v>
      </c>
      <c r="I5" s="10" t="s">
        <v>83</v>
      </c>
      <c r="J5" s="10" t="s">
        <v>84</v>
      </c>
    </row>
    <row r="6" customFormat="false" ht="15" hidden="false" customHeight="false" outlineLevel="0" collapsed="false">
      <c r="A6" s="10" t="s">
        <v>85</v>
      </c>
      <c r="B6" s="10" t="s">
        <v>25</v>
      </c>
      <c r="C6" s="11" t="n">
        <v>23.65</v>
      </c>
      <c r="D6" s="12" t="n">
        <f aca="false">C6/Inputs_Assumptions!B7</f>
        <v>0.055</v>
      </c>
      <c r="E6" s="13" t="n">
        <v>6.75</v>
      </c>
      <c r="F6" s="10" t="n">
        <v>110</v>
      </c>
      <c r="G6" s="10" t="n">
        <v>165</v>
      </c>
      <c r="H6" s="10" t="s">
        <v>86</v>
      </c>
      <c r="I6" s="10" t="s">
        <v>86</v>
      </c>
      <c r="J6" s="10"/>
    </row>
    <row r="7" customFormat="false" ht="15" hidden="false" customHeight="false" outlineLevel="0" collapsed="false">
      <c r="A7" s="10" t="s">
        <v>87</v>
      </c>
      <c r="B7" s="10" t="s">
        <v>88</v>
      </c>
      <c r="C7" s="11" t="n">
        <v>13.975</v>
      </c>
      <c r="D7" s="12" t="n">
        <f aca="false">C7/Inputs_Assumptions!B7</f>
        <v>0.0325</v>
      </c>
      <c r="E7" s="13" t="n">
        <v>3.5</v>
      </c>
      <c r="F7" s="10" t="n">
        <v>140</v>
      </c>
      <c r="G7" s="10" t="n">
        <v>210</v>
      </c>
      <c r="H7" s="10" t="s">
        <v>86</v>
      </c>
      <c r="I7" s="10" t="s">
        <v>86</v>
      </c>
      <c r="J7" s="10"/>
    </row>
    <row r="8" customFormat="false" ht="15" hidden="false" customHeight="false" outlineLevel="0" collapsed="false">
      <c r="A8" s="10" t="s">
        <v>89</v>
      </c>
      <c r="B8" s="10" t="s">
        <v>90</v>
      </c>
      <c r="C8" s="11" t="n">
        <v>7.525</v>
      </c>
      <c r="D8" s="12" t="n">
        <f aca="false">C8/Inputs_Assumptions!B7</f>
        <v>0.0175</v>
      </c>
      <c r="E8" s="13" t="n">
        <v>1.75</v>
      </c>
      <c r="F8" s="10" t="n">
        <v>165</v>
      </c>
      <c r="G8" s="10" t="n">
        <v>248</v>
      </c>
      <c r="H8" s="10" t="s">
        <v>86</v>
      </c>
      <c r="I8" s="10" t="s">
        <v>86</v>
      </c>
      <c r="J8" s="10"/>
    </row>
    <row r="9" customFormat="false" ht="15" hidden="false" customHeight="false" outlineLevel="0" collapsed="false">
      <c r="A9" s="10" t="s">
        <v>91</v>
      </c>
      <c r="B9" s="10" t="s">
        <v>92</v>
      </c>
      <c r="C9" s="11" t="n">
        <v>3.225</v>
      </c>
      <c r="D9" s="12" t="n">
        <f aca="false">C9/Inputs_Assumptions!B7</f>
        <v>0.0075</v>
      </c>
      <c r="E9" s="13" t="n">
        <v>1</v>
      </c>
      <c r="F9" s="10" t="n">
        <v>248</v>
      </c>
      <c r="G9" s="10" t="n">
        <v>348</v>
      </c>
      <c r="H9" s="10" t="s">
        <v>86</v>
      </c>
      <c r="I9" s="10" t="s">
        <v>86</v>
      </c>
      <c r="J9" s="10"/>
    </row>
    <row r="10" customFormat="false" ht="15" hidden="false" customHeight="false" outlineLevel="0" collapsed="false">
      <c r="A10" s="10" t="s">
        <v>93</v>
      </c>
      <c r="B10" s="10" t="s">
        <v>94</v>
      </c>
      <c r="C10" s="11" t="n">
        <v>3.44</v>
      </c>
      <c r="D10" s="12" t="n">
        <f aca="false">C10/Inputs_Assumptions!B7</f>
        <v>0.008</v>
      </c>
      <c r="E10" s="13" t="n">
        <v>0.2</v>
      </c>
      <c r="F10" s="10" t="n">
        <v>398</v>
      </c>
      <c r="G10" s="10" t="n">
        <v>498</v>
      </c>
      <c r="H10" s="10" t="s">
        <v>86</v>
      </c>
      <c r="I10" s="10" t="s">
        <v>86</v>
      </c>
      <c r="J10" s="10"/>
    </row>
    <row r="11" customFormat="false" ht="15" hidden="false" customHeight="false" outlineLevel="0" collapsed="false">
      <c r="A11" s="10" t="s">
        <v>95</v>
      </c>
      <c r="B11" s="10" t="s">
        <v>96</v>
      </c>
      <c r="C11" s="11" t="n">
        <v>0.86</v>
      </c>
      <c r="D11" s="12" t="n">
        <f aca="false">C11/Inputs_Assumptions!B7</f>
        <v>0.002</v>
      </c>
      <c r="E11" s="13" t="n">
        <v>0</v>
      </c>
      <c r="F11" s="10" t="n">
        <v>548</v>
      </c>
      <c r="G11" s="10" t="n">
        <v>648</v>
      </c>
      <c r="H11" s="10" t="s">
        <v>86</v>
      </c>
      <c r="I11" s="10" t="s">
        <v>86</v>
      </c>
      <c r="J11" s="10" t="s">
        <v>97</v>
      </c>
    </row>
    <row r="12" customFormat="false" ht="15" hidden="false" customHeight="false" outlineLevel="0" collapsed="false">
      <c r="A12" s="10" t="s">
        <v>98</v>
      </c>
      <c r="B12" s="10" t="s">
        <v>94</v>
      </c>
      <c r="C12" s="11" t="n">
        <v>10.75</v>
      </c>
      <c r="D12" s="12" t="n">
        <f aca="false">C12/Inputs_Assumptions!B7</f>
        <v>0.025</v>
      </c>
      <c r="E12" s="13" t="n">
        <v>0</v>
      </c>
      <c r="F12" s="10" t="n">
        <v>359</v>
      </c>
      <c r="G12" s="10" t="n">
        <v>359</v>
      </c>
      <c r="H12" s="10" t="s">
        <v>86</v>
      </c>
      <c r="I12" s="10" t="s">
        <v>83</v>
      </c>
      <c r="J12" s="10" t="s">
        <v>99</v>
      </c>
    </row>
    <row r="13" customFormat="false" ht="15" hidden="false" customHeight="false" outlineLevel="0" collapsed="false">
      <c r="A13" s="10" t="s">
        <v>100</v>
      </c>
      <c r="B13" s="10" t="s">
        <v>96</v>
      </c>
      <c r="C13" s="11" t="n">
        <v>6.45</v>
      </c>
      <c r="D13" s="12" t="n">
        <f aca="false">C13/Inputs_Assumptions!B7</f>
        <v>0.015</v>
      </c>
      <c r="E13" s="13" t="n">
        <v>0</v>
      </c>
      <c r="F13" s="10" t="n">
        <v>359</v>
      </c>
      <c r="G13" s="10" t="n">
        <v>359</v>
      </c>
      <c r="H13" s="10" t="s">
        <v>86</v>
      </c>
      <c r="I13" s="10" t="s">
        <v>83</v>
      </c>
      <c r="J13" s="10" t="s">
        <v>99</v>
      </c>
    </row>
    <row r="14" customFormat="false" ht="15" hidden="false" customHeight="false" outlineLevel="0" collapsed="false">
      <c r="A14" s="14" t="s">
        <v>101</v>
      </c>
      <c r="C14" s="15" t="n">
        <f aca="false">SUM(C5:C13)</f>
        <v>447.2</v>
      </c>
      <c r="D14" s="8" t="n">
        <f aca="false">SUM(D5:D13)</f>
        <v>1.04</v>
      </c>
    </row>
    <row r="17" customFormat="false" ht="15" hidden="false" customHeight="false" outlineLevel="0" collapsed="false">
      <c r="A17" s="3" t="s">
        <v>102</v>
      </c>
      <c r="B17" s="3"/>
      <c r="C17" s="3"/>
      <c r="D17" s="3"/>
    </row>
    <row r="18" customFormat="false" ht="15" hidden="false" customHeight="false" outlineLevel="0" collapsed="false">
      <c r="A18" s="0" t="s">
        <v>103</v>
      </c>
      <c r="B18" s="8" t="n">
        <f aca="false">E5</f>
        <v>12.25</v>
      </c>
      <c r="C18" s="5" t="s">
        <v>36</v>
      </c>
      <c r="D18" s="5" t="s">
        <v>104</v>
      </c>
    </row>
    <row r="19" customFormat="false" ht="15" hidden="false" customHeight="false" outlineLevel="0" collapsed="false">
      <c r="A19" s="0" t="s">
        <v>105</v>
      </c>
      <c r="B19" s="8" t="n">
        <f aca="false">D5</f>
        <v>0.8775</v>
      </c>
      <c r="C19" s="5" t="s">
        <v>36</v>
      </c>
      <c r="D19" s="5" t="s">
        <v>106</v>
      </c>
    </row>
    <row r="20" customFormat="false" ht="15" hidden="false" customHeight="false" outlineLevel="0" collapsed="false">
      <c r="A20" s="0" t="s">
        <v>107</v>
      </c>
      <c r="B20" s="16" t="n">
        <f aca="false">SUMPRODUCT(C5:C13,F5:F13)/SUM(C5:C13)</f>
        <v>101.867788461538</v>
      </c>
      <c r="C20" s="5" t="s">
        <v>108</v>
      </c>
      <c r="D20" s="5" t="s">
        <v>10</v>
      </c>
    </row>
    <row r="21" customFormat="false" ht="15" hidden="false" customHeight="false" outlineLevel="0" collapsed="false">
      <c r="A21" s="0" t="s">
        <v>109</v>
      </c>
      <c r="B21" s="16" t="n">
        <f aca="false">SUMPRODUCT(C5:C13,G5:G13)/SUM(C5:C13)</f>
        <v>144.637019230769</v>
      </c>
      <c r="C21" s="5" t="s">
        <v>108</v>
      </c>
      <c r="D21" s="5" t="s">
        <v>10</v>
      </c>
    </row>
    <row r="22" customFormat="false" ht="15" hidden="false" customHeight="false" outlineLevel="0" collapsed="false">
      <c r="A22" s="0" t="s">
        <v>110</v>
      </c>
      <c r="B22" s="0" t="n">
        <v>1.71</v>
      </c>
      <c r="C22" s="0" t="s">
        <v>36</v>
      </c>
      <c r="D22" s="0" t="s">
        <v>111</v>
      </c>
    </row>
    <row r="23" customFormat="false" ht="15" hidden="false" customHeight="false" outlineLevel="0" collapsed="false">
      <c r="A23" s="0" t="s">
        <v>112</v>
      </c>
      <c r="B23" s="0" t="s">
        <v>113</v>
      </c>
      <c r="C23" s="0" t="s">
        <v>62</v>
      </c>
    </row>
    <row r="24" customFormat="false" ht="15" hidden="false" customHeight="false" outlineLevel="0" collapsed="false">
      <c r="A24" s="0" t="s">
        <v>114</v>
      </c>
      <c r="B24" s="0" t="s">
        <v>115</v>
      </c>
      <c r="C24" s="0" t="s">
        <v>62</v>
      </c>
    </row>
  </sheetData>
  <mergeCells count="2">
    <mergeCell ref="A1:J1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8" min="6" style="0" width="10"/>
    <col collapsed="false" customWidth="true" hidden="false" outlineLevel="0" max="10" min="9" style="0" width="12"/>
    <col collapsed="false" customWidth="true" hidden="false" outlineLevel="0" max="11" min="11" style="0" width="20"/>
  </cols>
  <sheetData>
    <row r="1" customFormat="false" ht="19.7" hidden="false" customHeight="false" outlineLevel="0" collapsed="false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117</v>
      </c>
    </row>
    <row r="4" customFormat="false" ht="28.35" hidden="false" customHeight="false" outlineLevel="0" collapsed="false">
      <c r="A4" s="9" t="s">
        <v>118</v>
      </c>
      <c r="B4" s="9" t="s">
        <v>119</v>
      </c>
      <c r="C4" s="9" t="s">
        <v>120</v>
      </c>
      <c r="D4" s="9" t="s">
        <v>121</v>
      </c>
      <c r="E4" s="9" t="s">
        <v>122</v>
      </c>
      <c r="F4" s="9" t="s">
        <v>123</v>
      </c>
      <c r="G4" s="9" t="s">
        <v>124</v>
      </c>
      <c r="H4" s="9" t="s">
        <v>125</v>
      </c>
      <c r="I4" s="9" t="s">
        <v>126</v>
      </c>
      <c r="J4" s="9" t="s">
        <v>127</v>
      </c>
      <c r="K4" s="9" t="s">
        <v>22</v>
      </c>
    </row>
    <row r="5" customFormat="false" ht="15" hidden="false" customHeight="false" outlineLevel="0" collapsed="false">
      <c r="A5" s="17" t="s">
        <v>128</v>
      </c>
      <c r="B5" s="17" t="s">
        <v>129</v>
      </c>
      <c r="C5" s="18" t="n">
        <v>430</v>
      </c>
      <c r="D5" s="19" t="n">
        <v>87.75</v>
      </c>
      <c r="E5" s="19" t="n">
        <v>12.25</v>
      </c>
      <c r="F5" s="17" t="s">
        <v>83</v>
      </c>
      <c r="G5" s="19" t="n">
        <v>30.82</v>
      </c>
      <c r="H5" s="19" t="n">
        <v>35.3</v>
      </c>
      <c r="I5" s="19" t="n">
        <v>10.88</v>
      </c>
      <c r="J5" s="20" t="n">
        <v>1.15</v>
      </c>
      <c r="K5" s="17" t="s">
        <v>130</v>
      </c>
    </row>
    <row r="6" customFormat="false" ht="15" hidden="false" customHeight="false" outlineLevel="0" collapsed="false">
      <c r="A6" s="10" t="s">
        <v>131</v>
      </c>
      <c r="B6" s="10" t="s">
        <v>132</v>
      </c>
      <c r="C6" s="21" t="n">
        <v>482</v>
      </c>
      <c r="D6" s="10"/>
      <c r="E6" s="10"/>
      <c r="F6" s="10" t="s">
        <v>83</v>
      </c>
      <c r="G6" s="22" t="n">
        <v>30.51</v>
      </c>
      <c r="H6" s="22" t="n">
        <v>34.59</v>
      </c>
      <c r="I6" s="22" t="n">
        <v>10.55</v>
      </c>
      <c r="J6" s="23" t="n">
        <v>1.1</v>
      </c>
      <c r="K6" s="10" t="s">
        <v>133</v>
      </c>
    </row>
    <row r="7" customFormat="false" ht="15" hidden="false" customHeight="false" outlineLevel="0" collapsed="false">
      <c r="A7" s="10" t="s">
        <v>134</v>
      </c>
      <c r="B7" s="10" t="s">
        <v>135</v>
      </c>
      <c r="C7" s="21" t="n">
        <v>549.4</v>
      </c>
      <c r="D7" s="10"/>
      <c r="E7" s="10"/>
      <c r="F7" s="10" t="s">
        <v>83</v>
      </c>
      <c r="G7" s="22" t="n">
        <v>29.02</v>
      </c>
      <c r="H7" s="22" t="n">
        <v>38.63</v>
      </c>
      <c r="I7" s="22" t="n">
        <v>11.21</v>
      </c>
      <c r="J7" s="10"/>
      <c r="K7" s="10"/>
    </row>
    <row r="8" customFormat="false" ht="15" hidden="false" customHeight="false" outlineLevel="0" collapsed="false">
      <c r="A8" s="10" t="s">
        <v>136</v>
      </c>
      <c r="B8" s="10" t="s">
        <v>137</v>
      </c>
      <c r="C8" s="21" t="n">
        <v>329.2</v>
      </c>
      <c r="D8" s="22" t="n">
        <v>89.95</v>
      </c>
      <c r="E8" s="22" t="n">
        <v>10.05</v>
      </c>
      <c r="F8" s="10" t="s">
        <v>86</v>
      </c>
      <c r="G8" s="22" t="n">
        <v>24.78</v>
      </c>
      <c r="H8" s="22" t="n">
        <v>38.6</v>
      </c>
      <c r="I8" s="22" t="n">
        <v>9.57</v>
      </c>
      <c r="J8" s="23" t="n">
        <v>1.075</v>
      </c>
      <c r="K8" s="10" t="s">
        <v>138</v>
      </c>
    </row>
    <row r="9" customFormat="false" ht="15" hidden="false" customHeight="false" outlineLevel="0" collapsed="false">
      <c r="A9" s="10" t="s">
        <v>139</v>
      </c>
      <c r="B9" s="10" t="s">
        <v>140</v>
      </c>
      <c r="C9" s="21" t="n">
        <v>320.2</v>
      </c>
      <c r="D9" s="10"/>
      <c r="E9" s="10"/>
      <c r="F9" s="10" t="s">
        <v>86</v>
      </c>
      <c r="G9" s="22" t="n">
        <v>24.52</v>
      </c>
      <c r="H9" s="22" t="n">
        <v>46.54</v>
      </c>
      <c r="I9" s="22" t="n">
        <v>11.41</v>
      </c>
      <c r="J9" s="10"/>
      <c r="K9" s="10"/>
    </row>
    <row r="10" customFormat="false" ht="15" hidden="false" customHeight="false" outlineLevel="0" collapsed="false">
      <c r="A10" s="10" t="s">
        <v>141</v>
      </c>
      <c r="B10" s="10" t="s">
        <v>129</v>
      </c>
      <c r="C10" s="21" t="n">
        <v>386.6</v>
      </c>
      <c r="D10" s="22" t="n">
        <v>88.6</v>
      </c>
      <c r="E10" s="22" t="n">
        <v>11.75</v>
      </c>
      <c r="F10" s="10" t="s">
        <v>86</v>
      </c>
      <c r="G10" s="22" t="n">
        <v>23.65</v>
      </c>
      <c r="H10" s="22" t="n">
        <v>42.99</v>
      </c>
      <c r="I10" s="22" t="n">
        <v>10.17</v>
      </c>
      <c r="J10" s="23" t="n">
        <v>1.062</v>
      </c>
      <c r="K10" s="10" t="s">
        <v>142</v>
      </c>
    </row>
    <row r="11" customFormat="false" ht="15" hidden="false" customHeight="false" outlineLevel="0" collapsed="false">
      <c r="A11" s="10" t="s">
        <v>143</v>
      </c>
      <c r="B11" s="10" t="s">
        <v>140</v>
      </c>
      <c r="C11" s="21" t="n">
        <v>438.4</v>
      </c>
      <c r="D11" s="10"/>
      <c r="E11" s="10"/>
      <c r="F11" s="10" t="s">
        <v>86</v>
      </c>
      <c r="G11" s="22" t="n">
        <v>22.92</v>
      </c>
      <c r="H11" s="22" t="n">
        <v>40.49</v>
      </c>
      <c r="I11" s="22" t="n">
        <v>9.28</v>
      </c>
      <c r="J11" s="10"/>
      <c r="K11" s="10"/>
    </row>
    <row r="12" customFormat="false" ht="15" hidden="false" customHeight="false" outlineLevel="0" collapsed="false">
      <c r="A12" s="10" t="s">
        <v>144</v>
      </c>
      <c r="B12" s="10" t="s">
        <v>145</v>
      </c>
      <c r="C12" s="21" t="n">
        <v>367.5</v>
      </c>
      <c r="D12" s="22" t="n">
        <v>90</v>
      </c>
      <c r="E12" s="22" t="n">
        <v>10</v>
      </c>
      <c r="F12" s="10" t="s">
        <v>83</v>
      </c>
      <c r="G12" s="22" t="n">
        <v>20.98</v>
      </c>
      <c r="H12" s="22" t="n">
        <v>30.98</v>
      </c>
      <c r="I12" s="22" t="n">
        <v>6.5</v>
      </c>
      <c r="J12" s="23" t="n">
        <v>1.3</v>
      </c>
      <c r="K12" s="10" t="s">
        <v>146</v>
      </c>
    </row>
    <row r="15" customFormat="false" ht="15" hidden="false" customHeight="false" outlineLevel="0" collapsed="false">
      <c r="A15" s="3" t="s">
        <v>147</v>
      </c>
      <c r="B15" s="3"/>
      <c r="C15" s="3"/>
      <c r="D15" s="3"/>
      <c r="E15" s="3"/>
    </row>
    <row r="16" customFormat="false" ht="15" hidden="false" customHeight="false" outlineLevel="0" collapsed="false">
      <c r="A16" s="7" t="s">
        <v>148</v>
      </c>
      <c r="B16" s="7" t="s">
        <v>128</v>
      </c>
      <c r="C16" s="7" t="s">
        <v>149</v>
      </c>
      <c r="D16" s="7" t="s">
        <v>150</v>
      </c>
      <c r="E16" s="7" t="s">
        <v>151</v>
      </c>
    </row>
    <row r="17" customFormat="false" ht="15" hidden="false" customHeight="false" outlineLevel="0" collapsed="false">
      <c r="A17" s="0" t="s">
        <v>122</v>
      </c>
      <c r="B17" s="16" t="n">
        <f aca="false">E5</f>
        <v>12.25</v>
      </c>
      <c r="C17" s="5" t="n">
        <f aca="false">AVERAGE(E6:E12)</f>
        <v>10.6</v>
      </c>
      <c r="D17" s="24" t="n">
        <f aca="false">B17-C17</f>
        <v>1.65</v>
      </c>
      <c r="E17" s="0" t="str">
        <f aca="false">IF(D17&gt;0.5,"Above Peer","At/Below Peer")</f>
        <v>Above Peer</v>
      </c>
    </row>
    <row r="18" customFormat="false" ht="15" hidden="false" customHeight="false" outlineLevel="0" collapsed="false">
      <c r="A18" s="0" t="s">
        <v>152</v>
      </c>
      <c r="B18" s="16" t="n">
        <f aca="false">G5</f>
        <v>30.82</v>
      </c>
      <c r="C18" s="5" t="n">
        <f aca="false">AVERAGE(G6:G12)</f>
        <v>25.1971428571429</v>
      </c>
      <c r="D18" s="24" t="n">
        <f aca="false">B18-C18</f>
        <v>5.62285714285714</v>
      </c>
      <c r="E18" s="0" t="str">
        <f aca="false">IF(D18&gt;0.5,"Above Peer","At/Below Peer")</f>
        <v>Above Peer</v>
      </c>
    </row>
    <row r="19" customFormat="false" ht="15" hidden="false" customHeight="false" outlineLevel="0" collapsed="false">
      <c r="A19" s="0" t="s">
        <v>153</v>
      </c>
      <c r="B19" s="16" t="n">
        <f aca="false">H5</f>
        <v>35.3</v>
      </c>
      <c r="C19" s="5" t="n">
        <f aca="false">AVERAGE(H6:H12)</f>
        <v>38.9742857142857</v>
      </c>
      <c r="D19" s="24" t="n">
        <f aca="false">B19-C19</f>
        <v>-3.67428571428572</v>
      </c>
      <c r="E19" s="0" t="str">
        <f aca="false">IF(D19&gt;0.5,"Above Peer","At/Below Peer")</f>
        <v>At/Below Peer</v>
      </c>
    </row>
    <row r="20" customFormat="false" ht="15" hidden="false" customHeight="false" outlineLevel="0" collapsed="false">
      <c r="A20" s="0" t="s">
        <v>154</v>
      </c>
      <c r="B20" s="16" t="n">
        <f aca="false">I5</f>
        <v>10.88</v>
      </c>
      <c r="C20" s="5" t="n">
        <f aca="false">AVERAGE(I6:I12)</f>
        <v>9.81285714285714</v>
      </c>
      <c r="D20" s="24" t="n">
        <f aca="false">B20-C20</f>
        <v>1.06714285714286</v>
      </c>
      <c r="E20" s="0" t="str">
        <f aca="false">IF(D20&gt;0.5,"Above Peer","At/Below Peer")</f>
        <v>Above Peer</v>
      </c>
    </row>
    <row r="21" customFormat="false" ht="15" hidden="false" customHeight="false" outlineLevel="0" collapsed="false">
      <c r="A21" s="0" t="s">
        <v>127</v>
      </c>
      <c r="B21" s="25" t="n">
        <f aca="false">J5</f>
        <v>1.15</v>
      </c>
      <c r="C21" s="5" t="n">
        <f aca="false">AVERAGE(J6:J12)</f>
        <v>1.13425</v>
      </c>
      <c r="D21" s="24" t="n">
        <f aca="false">B21-C21</f>
        <v>0.0157499999999999</v>
      </c>
      <c r="E21" s="0" t="str">
        <f aca="false">IF(D21&gt;0.5,"Above Peer","At/Below Peer")</f>
        <v>At/Below Peer</v>
      </c>
    </row>
  </sheetData>
  <mergeCells count="2">
    <mergeCell ref="A1:K1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2" min="12" style="0" width="12"/>
    <col collapsed="false" customWidth="true" hidden="false" outlineLevel="0" max="13" min="13" style="0" width="10"/>
  </cols>
  <sheetData>
    <row r="1" customFormat="false" ht="19.7" hidden="false" customHeight="false" outlineLevel="0" collapsed="false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156</v>
      </c>
    </row>
    <row r="4" customFormat="false" ht="15" hidden="false" customHeight="false" outlineLevel="0" collapsed="false">
      <c r="A4" s="3" t="s">
        <v>157</v>
      </c>
      <c r="B4" s="3"/>
      <c r="C4" s="3"/>
      <c r="D4" s="3"/>
    </row>
    <row r="5" customFormat="false" ht="15" hidden="false" customHeight="false" outlineLevel="0" collapsed="false">
      <c r="A5" s="0" t="s">
        <v>158</v>
      </c>
      <c r="B5" s="4" t="n">
        <v>10.5</v>
      </c>
      <c r="C5" s="5" t="s">
        <v>36</v>
      </c>
      <c r="D5" s="5" t="s">
        <v>159</v>
      </c>
    </row>
    <row r="6" customFormat="false" ht="15" hidden="false" customHeight="false" outlineLevel="0" collapsed="false">
      <c r="A6" s="0" t="s">
        <v>160</v>
      </c>
      <c r="B6" s="4" t="n">
        <v>430</v>
      </c>
      <c r="C6" s="5" t="s">
        <v>161</v>
      </c>
      <c r="D6" s="5" t="s">
        <v>162</v>
      </c>
    </row>
    <row r="7" customFormat="false" ht="15" hidden="false" customHeight="false" outlineLevel="0" collapsed="false">
      <c r="A7" s="0" t="s">
        <v>163</v>
      </c>
      <c r="B7" s="4" t="n">
        <v>0.35</v>
      </c>
      <c r="C7" s="5" t="s">
        <v>36</v>
      </c>
      <c r="D7" s="5" t="s">
        <v>164</v>
      </c>
    </row>
    <row r="8" customFormat="false" ht="15" hidden="false" customHeight="false" outlineLevel="0" collapsed="false">
      <c r="A8" s="0" t="s">
        <v>165</v>
      </c>
      <c r="B8" s="4" t="n">
        <v>1.1</v>
      </c>
      <c r="C8" s="5" t="s">
        <v>166</v>
      </c>
      <c r="D8" s="5" t="s">
        <v>167</v>
      </c>
    </row>
    <row r="9" customFormat="false" ht="15" hidden="false" customHeight="false" outlineLevel="0" collapsed="false">
      <c r="A9" s="0" t="s">
        <v>168</v>
      </c>
      <c r="B9" s="4" t="n">
        <v>89.5</v>
      </c>
      <c r="C9" s="5" t="s">
        <v>36</v>
      </c>
      <c r="D9" s="5" t="s">
        <v>169</v>
      </c>
    </row>
    <row r="12" customFormat="false" ht="15" hidden="false" customHeight="false" outlineLevel="0" collapsed="false">
      <c r="A12" s="3" t="s">
        <v>170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customFormat="false" ht="15" hidden="false" customHeight="false" outlineLevel="0" collapsed="false">
      <c r="A13" s="26" t="s">
        <v>74</v>
      </c>
      <c r="B13" s="26" t="s">
        <v>75</v>
      </c>
      <c r="C13" s="26" t="s">
        <v>171</v>
      </c>
      <c r="D13" s="26" t="s">
        <v>172</v>
      </c>
      <c r="E13" s="26" t="s">
        <v>173</v>
      </c>
      <c r="F13" s="26" t="s">
        <v>174</v>
      </c>
      <c r="G13" s="26" t="s">
        <v>175</v>
      </c>
      <c r="H13" s="26" t="s">
        <v>176</v>
      </c>
      <c r="I13" s="26" t="s">
        <v>177</v>
      </c>
      <c r="J13" s="26" t="s">
        <v>178</v>
      </c>
      <c r="K13" s="26" t="s">
        <v>179</v>
      </c>
      <c r="L13" s="26" t="s">
        <v>180</v>
      </c>
      <c r="M13" s="26" t="s">
        <v>181</v>
      </c>
    </row>
    <row r="14" customFormat="false" ht="15" hidden="false" customHeight="false" outlineLevel="0" collapsed="false">
      <c r="A14" s="0" t="s">
        <v>26</v>
      </c>
      <c r="B14" s="0" t="s">
        <v>23</v>
      </c>
      <c r="C14" s="15" t="n">
        <v>377.325</v>
      </c>
      <c r="D14" s="8" t="n">
        <f aca="false">C14/SUM($C$14:$C$22)</f>
        <v>0.84375</v>
      </c>
      <c r="E14" s="8" t="n">
        <v>0.1225</v>
      </c>
      <c r="F14" s="27" t="n">
        <f aca="false">$B$5*$B$9/100</f>
        <v>9.3975</v>
      </c>
      <c r="G14" s="8" t="n">
        <f aca="false">F14/SUM($F$14:$F$22)</f>
        <v>0.12445371473977</v>
      </c>
      <c r="H14" s="8" t="n">
        <f aca="false">SUM(F15:$F$22)/SUM($F$14:$F$22)</f>
        <v>0.87554628526023</v>
      </c>
      <c r="I14" s="15" t="n">
        <f aca="false">C14</f>
        <v>377.325</v>
      </c>
      <c r="J14" s="8" t="n">
        <f aca="false">I14/SUM($I$14:$I$22)</f>
        <v>0.84375</v>
      </c>
      <c r="K14" s="8" t="n">
        <f aca="false">(SUM(I15:$I$22)/SUM($I$14:$I$22))+$B$7/100</f>
        <v>0.15975</v>
      </c>
      <c r="L14" s="15" t="n">
        <f aca="false">F14</f>
        <v>9.3975</v>
      </c>
      <c r="M14" s="8" t="n">
        <f aca="false">L14/SUM($L$14:$L$22)</f>
        <v>0.12445371473977</v>
      </c>
    </row>
    <row r="15" customFormat="false" ht="15" hidden="false" customHeight="false" outlineLevel="0" collapsed="false">
      <c r="A15" s="0" t="s">
        <v>85</v>
      </c>
      <c r="B15" s="0" t="s">
        <v>25</v>
      </c>
      <c r="C15" s="15" t="n">
        <v>23.65</v>
      </c>
      <c r="D15" s="8" t="n">
        <f aca="false">C15/SUM($C$14:$C$22)</f>
        <v>0.0528846153846154</v>
      </c>
      <c r="E15" s="8" t="n">
        <v>0.0675</v>
      </c>
      <c r="F15" s="27" t="n">
        <f aca="false">C15*0.9</f>
        <v>21.285</v>
      </c>
      <c r="G15" s="8" t="n">
        <f aca="false">F15/SUM($F$14:$F$22)</f>
        <v>0.281883194278903</v>
      </c>
      <c r="H15" s="8" t="n">
        <f aca="false">SUM(F16:$F$22)/SUM($F$14:$F$22)</f>
        <v>0.593663090981327</v>
      </c>
      <c r="I15" s="15" t="n">
        <f aca="false">C15</f>
        <v>23.65</v>
      </c>
      <c r="J15" s="8" t="n">
        <f aca="false">I15/SUM($I$14:$I$22)</f>
        <v>0.0528846153846154</v>
      </c>
      <c r="K15" s="8" t="n">
        <f aca="false">(SUM(I16:$I$22)/SUM($I$14:$I$22))+$B$7/100</f>
        <v>0.106865384615385</v>
      </c>
      <c r="L15" s="15" t="n">
        <f aca="false">F15</f>
        <v>21.285</v>
      </c>
      <c r="M15" s="8" t="n">
        <f aca="false">L15/SUM($L$14:$L$22)</f>
        <v>0.281883194278903</v>
      </c>
    </row>
    <row r="16" customFormat="false" ht="15" hidden="false" customHeight="false" outlineLevel="0" collapsed="false">
      <c r="A16" s="0" t="s">
        <v>87</v>
      </c>
      <c r="B16" s="0" t="s">
        <v>88</v>
      </c>
      <c r="C16" s="15" t="n">
        <v>13.975</v>
      </c>
      <c r="D16" s="8" t="n">
        <f aca="false">C16/SUM($C$14:$C$22)</f>
        <v>0.03125</v>
      </c>
      <c r="E16" s="8" t="n">
        <v>0.035</v>
      </c>
      <c r="F16" s="27" t="n">
        <f aca="false">C16*0.9</f>
        <v>12.5775</v>
      </c>
      <c r="G16" s="8" t="n">
        <f aca="false">F16/SUM($F$14:$F$22)</f>
        <v>0.166567342073898</v>
      </c>
      <c r="H16" s="8" t="n">
        <f aca="false">SUM(F17:$F$22)/SUM($F$14:$F$22)</f>
        <v>0.427095748907429</v>
      </c>
      <c r="I16" s="15" t="n">
        <f aca="false">C16</f>
        <v>13.975</v>
      </c>
      <c r="J16" s="8" t="n">
        <f aca="false">I16/SUM($I$14:$I$22)</f>
        <v>0.03125</v>
      </c>
      <c r="K16" s="8" t="n">
        <f aca="false">(SUM(I17:$I$22)/SUM($I$14:$I$22))+$B$7/100</f>
        <v>0.0756153846153846</v>
      </c>
      <c r="L16" s="15" t="n">
        <f aca="false">F16</f>
        <v>12.5775</v>
      </c>
      <c r="M16" s="8" t="n">
        <f aca="false">L16/SUM($L$14:$L$22)</f>
        <v>0.166567342073898</v>
      </c>
    </row>
    <row r="17" customFormat="false" ht="15" hidden="false" customHeight="false" outlineLevel="0" collapsed="false">
      <c r="A17" s="0" t="s">
        <v>89</v>
      </c>
      <c r="B17" s="0" t="s">
        <v>90</v>
      </c>
      <c r="C17" s="15" t="n">
        <v>7.525</v>
      </c>
      <c r="D17" s="8" t="n">
        <f aca="false">C17/SUM($C$14:$C$22)</f>
        <v>0.0168269230769231</v>
      </c>
      <c r="E17" s="8" t="n">
        <v>0.0175</v>
      </c>
      <c r="F17" s="27" t="n">
        <f aca="false">C17</f>
        <v>7.525</v>
      </c>
      <c r="G17" s="8" t="n">
        <f aca="false">F17/SUM($F$14:$F$22)</f>
        <v>0.0996556747450669</v>
      </c>
      <c r="H17" s="8" t="n">
        <f aca="false">SUM(F18:$F$22)/SUM($F$14:$F$22)</f>
        <v>0.327440074162363</v>
      </c>
      <c r="I17" s="15" t="n">
        <f aca="false">C17</f>
        <v>7.525</v>
      </c>
      <c r="J17" s="8" t="n">
        <f aca="false">I17/SUM($I$14:$I$22)</f>
        <v>0.0168269230769231</v>
      </c>
      <c r="K17" s="8" t="n">
        <f aca="false">(SUM(I18:$I$22)/SUM($I$14:$I$22))+$B$7/100</f>
        <v>0.0587884615384615</v>
      </c>
      <c r="L17" s="15" t="n">
        <f aca="false">F17</f>
        <v>7.525</v>
      </c>
      <c r="M17" s="8" t="n">
        <f aca="false">L17/SUM($L$14:$L$22)</f>
        <v>0.0996556747450669</v>
      </c>
    </row>
    <row r="18" customFormat="false" ht="15" hidden="false" customHeight="false" outlineLevel="0" collapsed="false">
      <c r="A18" s="0" t="s">
        <v>91</v>
      </c>
      <c r="B18" s="0" t="s">
        <v>92</v>
      </c>
      <c r="C18" s="15" t="n">
        <v>3.225</v>
      </c>
      <c r="D18" s="8" t="n">
        <f aca="false">C18/SUM($C$14:$C$22)</f>
        <v>0.00721153846153846</v>
      </c>
      <c r="E18" s="8" t="n">
        <v>0.01</v>
      </c>
      <c r="F18" s="27" t="n">
        <f aca="false">C18</f>
        <v>3.225</v>
      </c>
      <c r="G18" s="8" t="n">
        <f aca="false">F18/SUM($F$14:$F$22)</f>
        <v>0.0427095748907429</v>
      </c>
      <c r="H18" s="8" t="n">
        <f aca="false">SUM(F19:$F$22)/SUM($F$14:$F$22)</f>
        <v>0.28473049927162</v>
      </c>
      <c r="I18" s="15" t="n">
        <f aca="false">C18</f>
        <v>3.225</v>
      </c>
      <c r="J18" s="8" t="n">
        <f aca="false">I18/SUM($I$14:$I$22)</f>
        <v>0.00721153846153846</v>
      </c>
      <c r="K18" s="8" t="n">
        <f aca="false">(SUM(I19:$I$22)/SUM($I$14:$I$22))+$B$7/100</f>
        <v>0.0515769230769231</v>
      </c>
      <c r="L18" s="15" t="n">
        <f aca="false">F18</f>
        <v>3.225</v>
      </c>
      <c r="M18" s="8" t="n">
        <f aca="false">L18/SUM($L$14:$L$22)</f>
        <v>0.0427095748907429</v>
      </c>
    </row>
    <row r="19" customFormat="false" ht="15" hidden="false" customHeight="false" outlineLevel="0" collapsed="false">
      <c r="A19" s="0" t="s">
        <v>93</v>
      </c>
      <c r="B19" s="0" t="s">
        <v>94</v>
      </c>
      <c r="C19" s="15" t="n">
        <v>3.44</v>
      </c>
      <c r="D19" s="8" t="n">
        <f aca="false">C19/SUM($C$14:$C$22)</f>
        <v>0.00769230769230769</v>
      </c>
      <c r="E19" s="8" t="n">
        <v>0.002</v>
      </c>
      <c r="F19" s="27" t="n">
        <f aca="false">C19</f>
        <v>3.44</v>
      </c>
      <c r="G19" s="8" t="n">
        <f aca="false">F19/SUM($F$14:$F$22)</f>
        <v>0.0455568798834591</v>
      </c>
      <c r="H19" s="8" t="n">
        <f aca="false">SUM(F20:$F$22)/SUM($F$14:$F$22)</f>
        <v>0.23917361938816</v>
      </c>
      <c r="I19" s="15" t="n">
        <f aca="false">C19</f>
        <v>3.44</v>
      </c>
      <c r="J19" s="8" t="n">
        <f aca="false">I19/SUM($I$14:$I$22)</f>
        <v>0.00769230769230769</v>
      </c>
      <c r="K19" s="8" t="n">
        <f aca="false">(SUM(I20:$I$22)/SUM($I$14:$I$22))+$B$7/100</f>
        <v>0.0438846153846154</v>
      </c>
      <c r="L19" s="15" t="n">
        <f aca="false">F19</f>
        <v>3.44</v>
      </c>
      <c r="M19" s="8" t="n">
        <f aca="false">L19/SUM($L$14:$L$22)</f>
        <v>0.0455568798834591</v>
      </c>
    </row>
    <row r="20" customFormat="false" ht="15" hidden="false" customHeight="false" outlineLevel="0" collapsed="false">
      <c r="A20" s="0" t="s">
        <v>95</v>
      </c>
      <c r="B20" s="0" t="s">
        <v>96</v>
      </c>
      <c r="C20" s="15" t="n">
        <v>0.86</v>
      </c>
      <c r="D20" s="8" t="n">
        <f aca="false">C20/SUM($C$14:$C$22)</f>
        <v>0.00192307692307692</v>
      </c>
      <c r="E20" s="8" t="n">
        <v>0</v>
      </c>
      <c r="F20" s="27" t="n">
        <f aca="false">C20</f>
        <v>0.86</v>
      </c>
      <c r="G20" s="8" t="n">
        <f aca="false">F20/SUM($F$14:$F$22)</f>
        <v>0.0113892199708648</v>
      </c>
      <c r="H20" s="8" t="n">
        <f aca="false">SUM(F21:$F$22)/SUM($F$14:$F$22)</f>
        <v>0.227784399417296</v>
      </c>
      <c r="I20" s="15" t="n">
        <f aca="false">C20</f>
        <v>0.86</v>
      </c>
      <c r="J20" s="8" t="n">
        <f aca="false">I20/SUM($I$14:$I$22)</f>
        <v>0.00192307692307692</v>
      </c>
      <c r="K20" s="8" t="n">
        <f aca="false">(SUM(I21:$I$22)/SUM($I$14:$I$22))+$B$7/100</f>
        <v>0.0419615384615385</v>
      </c>
      <c r="L20" s="15" t="n">
        <f aca="false">F20</f>
        <v>0.86</v>
      </c>
      <c r="M20" s="8" t="n">
        <f aca="false">L20/SUM($L$14:$L$22)</f>
        <v>0.0113892199708648</v>
      </c>
    </row>
    <row r="21" customFormat="false" ht="15" hidden="false" customHeight="false" outlineLevel="0" collapsed="false">
      <c r="A21" s="0" t="s">
        <v>98</v>
      </c>
      <c r="B21" s="0" t="s">
        <v>94</v>
      </c>
      <c r="C21" s="15" t="n">
        <v>10.75</v>
      </c>
      <c r="D21" s="8" t="n">
        <f aca="false">C21/SUM($C$14:$C$22)</f>
        <v>0.0240384615384615</v>
      </c>
      <c r="E21" s="8" t="n">
        <v>0</v>
      </c>
      <c r="F21" s="27" t="n">
        <f aca="false">C21</f>
        <v>10.75</v>
      </c>
      <c r="G21" s="8" t="n">
        <f aca="false">F21/SUM($F$14:$F$22)</f>
        <v>0.14236524963581</v>
      </c>
      <c r="H21" s="8" t="n">
        <f aca="false">SUM(F22:$F$22)/SUM($F$14:$F$22)</f>
        <v>0.0854191497814859</v>
      </c>
      <c r="I21" s="15" t="n">
        <f aca="false">C21</f>
        <v>10.75</v>
      </c>
      <c r="J21" s="8" t="n">
        <f aca="false">I21/SUM($I$14:$I$22)</f>
        <v>0.0240384615384615</v>
      </c>
      <c r="K21" s="8" t="n">
        <f aca="false">(SUM(I22:$I$22)/SUM($I$14:$I$22))+$B$7/100</f>
        <v>0.0179230769230769</v>
      </c>
      <c r="L21" s="15" t="n">
        <f aca="false">F21</f>
        <v>10.75</v>
      </c>
      <c r="M21" s="8" t="n">
        <f aca="false">L21/SUM($L$14:$L$22)</f>
        <v>0.14236524963581</v>
      </c>
    </row>
    <row r="22" customFormat="false" ht="15" hidden="false" customHeight="false" outlineLevel="0" collapsed="false">
      <c r="A22" s="0" t="s">
        <v>100</v>
      </c>
      <c r="B22" s="0" t="s">
        <v>96</v>
      </c>
      <c r="C22" s="15" t="n">
        <v>6.45</v>
      </c>
      <c r="D22" s="8" t="n">
        <f aca="false">C22/SUM($C$14:$C$22)</f>
        <v>0.0144230769230769</v>
      </c>
      <c r="E22" s="8" t="n">
        <v>0</v>
      </c>
      <c r="F22" s="27" t="n">
        <f aca="false">C22</f>
        <v>6.45</v>
      </c>
      <c r="G22" s="8" t="n">
        <f aca="false">F22/SUM($F$14:$F$22)</f>
        <v>0.0854191497814859</v>
      </c>
      <c r="H22" s="8" t="n">
        <v>0</v>
      </c>
      <c r="I22" s="15" t="n">
        <f aca="false">C22</f>
        <v>6.45</v>
      </c>
      <c r="J22" s="8" t="n">
        <f aca="false">I22/SUM($I$14:$I$22)</f>
        <v>0.0144230769230769</v>
      </c>
      <c r="K22" s="8" t="n">
        <f aca="false">$B$7/100</f>
        <v>0.0035</v>
      </c>
      <c r="L22" s="15" t="n">
        <f aca="false">F22</f>
        <v>6.45</v>
      </c>
      <c r="M22" s="8" t="n">
        <f aca="false">L22/SUM($L$14:$L$22)</f>
        <v>0.0854191497814859</v>
      </c>
    </row>
    <row r="23" customFormat="false" ht="15" hidden="false" customHeight="false" outlineLevel="0" collapsed="false">
      <c r="A23" s="14" t="s">
        <v>101</v>
      </c>
      <c r="C23" s="28" t="n">
        <f aca="false">SUM(C14:C22)</f>
        <v>447.2</v>
      </c>
      <c r="F23" s="28" t="n">
        <f aca="false">SUM(F14:F22)</f>
        <v>75.51</v>
      </c>
      <c r="I23" s="28" t="n">
        <f aca="false">SUM(I14:I22)</f>
        <v>447.2</v>
      </c>
      <c r="L23" s="28" t="n">
        <f aca="false">SUM(L14:L22)</f>
        <v>75.51</v>
      </c>
    </row>
    <row r="26" customFormat="false" ht="15" hidden="false" customHeight="false" outlineLevel="0" collapsed="false">
      <c r="A26" s="3" t="s">
        <v>182</v>
      </c>
      <c r="B26" s="3"/>
      <c r="C26" s="3"/>
      <c r="D26" s="3"/>
      <c r="E26" s="3"/>
    </row>
    <row r="27" customFormat="false" ht="15" hidden="false" customHeight="false" outlineLevel="0" collapsed="false">
      <c r="A27" s="7" t="s">
        <v>148</v>
      </c>
      <c r="B27" s="7" t="s">
        <v>171</v>
      </c>
      <c r="C27" s="7" t="s">
        <v>183</v>
      </c>
      <c r="D27" s="7" t="s">
        <v>184</v>
      </c>
      <c r="E27" s="7" t="s">
        <v>185</v>
      </c>
    </row>
    <row r="28" customFormat="false" ht="15" hidden="false" customHeight="false" outlineLevel="0" collapsed="false">
      <c r="A28" s="10" t="s">
        <v>122</v>
      </c>
      <c r="B28" s="13" t="n">
        <f aca="false">E14</f>
        <v>0.1225</v>
      </c>
      <c r="C28" s="13" t="n">
        <f aca="false">H14</f>
        <v>0.87554628526023</v>
      </c>
      <c r="D28" s="13" t="n">
        <f aca="false">K14</f>
        <v>0.15975</v>
      </c>
      <c r="E28" s="13" t="n">
        <f aca="false">H14+$B$7/100</f>
        <v>0.87904628526023</v>
      </c>
    </row>
    <row r="29" customFormat="false" ht="15" hidden="false" customHeight="false" outlineLevel="0" collapsed="false">
      <c r="A29" s="10" t="s">
        <v>186</v>
      </c>
      <c r="B29" s="11" t="n">
        <f aca="false">C14</f>
        <v>377.325</v>
      </c>
      <c r="C29" s="11" t="n">
        <f aca="false">F14</f>
        <v>9.3975</v>
      </c>
      <c r="D29" s="11" t="n">
        <f aca="false">I14</f>
        <v>377.325</v>
      </c>
      <c r="E29" s="11" t="n">
        <f aca="false">L14</f>
        <v>9.3975</v>
      </c>
    </row>
    <row r="30" customFormat="false" ht="15" hidden="false" customHeight="false" outlineLevel="0" collapsed="false">
      <c r="A30" s="10" t="s">
        <v>187</v>
      </c>
      <c r="B30" s="13" t="n">
        <f aca="false">D14</f>
        <v>0.84375</v>
      </c>
      <c r="C30" s="13" t="n">
        <f aca="false">G14</f>
        <v>0.12445371473977</v>
      </c>
      <c r="D30" s="13" t="n">
        <f aca="false">J14</f>
        <v>0.84375</v>
      </c>
      <c r="E30" s="13" t="n">
        <f aca="false">M14</f>
        <v>0.12445371473977</v>
      </c>
    </row>
    <row r="31" customFormat="false" ht="15" hidden="false" customHeight="false" outlineLevel="0" collapsed="false">
      <c r="A31" s="10" t="s">
        <v>188</v>
      </c>
      <c r="B31" s="10"/>
      <c r="C31" s="10"/>
      <c r="D31" s="10"/>
      <c r="E31" s="10"/>
    </row>
    <row r="32" customFormat="false" ht="15" hidden="false" customHeight="false" outlineLevel="0" collapsed="false">
      <c r="A32" s="10" t="s">
        <v>189</v>
      </c>
      <c r="B32" s="10"/>
      <c r="C32" s="10"/>
      <c r="D32" s="10"/>
      <c r="E32" s="10"/>
    </row>
    <row r="33" customFormat="false" ht="15" hidden="false" customHeight="false" outlineLevel="0" collapsed="false">
      <c r="A33" s="10" t="s">
        <v>190</v>
      </c>
      <c r="B33" s="10" t="s">
        <v>62</v>
      </c>
      <c r="C33" s="10" t="n">
        <f aca="false">(E14-H14)*100</f>
        <v>-75.304628526023</v>
      </c>
      <c r="D33" s="10" t="n">
        <f aca="false">(E14-K14)*100</f>
        <v>-3.725</v>
      </c>
      <c r="E33" s="10" t="n">
        <f aca="false">(E14-(H14+$B$7/100))*100</f>
        <v>-75.654628526023</v>
      </c>
    </row>
    <row r="34" customFormat="false" ht="15" hidden="false" customHeight="false" outlineLevel="0" collapsed="false">
      <c r="A34" s="10" t="s">
        <v>191</v>
      </c>
      <c r="B34" s="10" t="s">
        <v>62</v>
      </c>
      <c r="C34" s="10"/>
      <c r="D34" s="10"/>
      <c r="E34" s="10"/>
    </row>
  </sheetData>
  <mergeCells count="4">
    <mergeCell ref="A1:L1"/>
    <mergeCell ref="A4:D4"/>
    <mergeCell ref="A12:M12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5"/>
    <col collapsed="false" customWidth="true" hidden="false" outlineLevel="0" max="5" min="5" style="0" width="25"/>
  </cols>
  <sheetData>
    <row r="1" customFormat="false" ht="19.7" hidden="false" customHeight="false" outlineLevel="0" collapsed="false">
      <c r="A1" s="1" t="s">
        <v>192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193</v>
      </c>
    </row>
    <row r="4" customFormat="false" ht="15" hidden="false" customHeight="false" outlineLevel="0" collapsed="false">
      <c r="A4" s="3" t="s">
        <v>194</v>
      </c>
      <c r="B4" s="3"/>
      <c r="C4" s="3"/>
      <c r="D4" s="3"/>
      <c r="E4" s="3"/>
    </row>
    <row r="5" customFormat="false" ht="15" hidden="false" customHeight="false" outlineLevel="0" collapsed="false">
      <c r="A5" s="7" t="s">
        <v>75</v>
      </c>
      <c r="B5" s="7" t="s">
        <v>195</v>
      </c>
      <c r="C5" s="7" t="s">
        <v>196</v>
      </c>
      <c r="D5" s="7" t="s">
        <v>197</v>
      </c>
      <c r="E5" s="7" t="s">
        <v>22</v>
      </c>
    </row>
    <row r="6" customFormat="false" ht="15" hidden="false" customHeight="false" outlineLevel="0" collapsed="false">
      <c r="A6" s="10" t="s">
        <v>23</v>
      </c>
      <c r="B6" s="29" t="n">
        <v>10.88</v>
      </c>
      <c r="C6" s="29" t="n">
        <v>10.88</v>
      </c>
      <c r="D6" s="30" t="n">
        <f aca="false">Current_Structure!E5-B6</f>
        <v>1.37</v>
      </c>
      <c r="E6" s="10" t="s">
        <v>198</v>
      </c>
    </row>
    <row r="7" customFormat="false" ht="15" hidden="false" customHeight="false" outlineLevel="0" collapsed="false">
      <c r="A7" s="10" t="s">
        <v>25</v>
      </c>
      <c r="B7" s="29" t="n">
        <v>6.23</v>
      </c>
      <c r="C7" s="29" t="n">
        <v>6.23</v>
      </c>
      <c r="D7" s="30" t="n">
        <f aca="false">Current_Structure!E6-B7</f>
        <v>0.52</v>
      </c>
      <c r="E7" s="10" t="s">
        <v>199</v>
      </c>
    </row>
    <row r="8" customFormat="false" ht="15" hidden="false" customHeight="false" outlineLevel="0" collapsed="false">
      <c r="A8" s="10" t="s">
        <v>26</v>
      </c>
      <c r="B8" s="29" t="n">
        <v>3.38</v>
      </c>
      <c r="C8" s="29" t="n">
        <v>3.38</v>
      </c>
      <c r="D8" s="30" t="n">
        <f aca="false">Current_Structure!E7-B8</f>
        <v>0.12</v>
      </c>
      <c r="E8" s="10"/>
    </row>
    <row r="9" customFormat="false" ht="15" hidden="false" customHeight="false" outlineLevel="0" collapsed="false">
      <c r="A9" s="10" t="s">
        <v>27</v>
      </c>
      <c r="B9" s="29" t="n">
        <v>1.78</v>
      </c>
      <c r="C9" s="29" t="n">
        <v>1.78</v>
      </c>
      <c r="D9" s="30" t="n">
        <f aca="false">Current_Structure!E8-B9</f>
        <v>-0.03</v>
      </c>
      <c r="E9" s="10"/>
    </row>
    <row r="10" customFormat="false" ht="15" hidden="false" customHeight="false" outlineLevel="0" collapsed="false">
      <c r="A10" s="10" t="s">
        <v>28</v>
      </c>
      <c r="B10" s="29" t="n">
        <v>0.73</v>
      </c>
      <c r="C10" s="29" t="n">
        <v>0.73</v>
      </c>
      <c r="D10" s="30" t="n">
        <f aca="false">Current_Structure!E9-B10</f>
        <v>0.27</v>
      </c>
      <c r="E10" s="10"/>
    </row>
    <row r="11" customFormat="false" ht="15" hidden="false" customHeight="false" outlineLevel="0" collapsed="false">
      <c r="A11" s="10" t="s">
        <v>29</v>
      </c>
      <c r="B11" s="29" t="n">
        <v>0.44</v>
      </c>
      <c r="C11" s="29" t="n">
        <v>0.44</v>
      </c>
      <c r="D11" s="30" t="n">
        <f aca="false">Current_Structure!E10-B11</f>
        <v>-0.24</v>
      </c>
      <c r="E11" s="10"/>
    </row>
    <row r="14" customFormat="false" ht="15" hidden="false" customHeight="false" outlineLevel="0" collapsed="false">
      <c r="A14" s="3" t="s">
        <v>200</v>
      </c>
      <c r="B14" s="3"/>
      <c r="C14" s="3"/>
      <c r="D14" s="3"/>
      <c r="E14" s="3"/>
    </row>
    <row r="15" customFormat="false" ht="15" hidden="false" customHeight="false" outlineLevel="0" collapsed="false">
      <c r="A15" s="7" t="s">
        <v>74</v>
      </c>
      <c r="B15" s="7" t="s">
        <v>201</v>
      </c>
      <c r="C15" s="7" t="s">
        <v>202</v>
      </c>
      <c r="D15" s="7" t="s">
        <v>203</v>
      </c>
      <c r="E15" s="7" t="s">
        <v>22</v>
      </c>
    </row>
    <row r="16" customFormat="false" ht="15" hidden="false" customHeight="false" outlineLevel="0" collapsed="false">
      <c r="A16" s="10" t="s">
        <v>26</v>
      </c>
      <c r="B16" s="10" t="s">
        <v>204</v>
      </c>
      <c r="C16" s="10" t="s">
        <v>205</v>
      </c>
      <c r="D16" s="10" t="s">
        <v>206</v>
      </c>
      <c r="E16" s="10" t="s">
        <v>207</v>
      </c>
    </row>
    <row r="17" customFormat="false" ht="15" hidden="false" customHeight="false" outlineLevel="0" collapsed="false">
      <c r="A17" s="10" t="s">
        <v>85</v>
      </c>
      <c r="B17" s="10" t="s">
        <v>204</v>
      </c>
      <c r="C17" s="10" t="s">
        <v>205</v>
      </c>
      <c r="D17" s="10" t="s">
        <v>208</v>
      </c>
      <c r="E17" s="10" t="s">
        <v>209</v>
      </c>
    </row>
    <row r="18" customFormat="false" ht="15" hidden="false" customHeight="false" outlineLevel="0" collapsed="false">
      <c r="A18" s="10" t="s">
        <v>210</v>
      </c>
      <c r="B18" s="10" t="s">
        <v>211</v>
      </c>
      <c r="C18" s="10" t="s">
        <v>206</v>
      </c>
      <c r="D18" s="10" t="s">
        <v>208</v>
      </c>
      <c r="E18" s="10" t="s">
        <v>212</v>
      </c>
    </row>
    <row r="19" customFormat="false" ht="15" hidden="false" customHeight="false" outlineLevel="0" collapsed="false">
      <c r="A19" s="10" t="s">
        <v>213</v>
      </c>
      <c r="B19" s="10" t="s">
        <v>214</v>
      </c>
      <c r="C19" s="10" t="s">
        <v>206</v>
      </c>
      <c r="D19" s="10" t="s">
        <v>206</v>
      </c>
      <c r="E19" s="10" t="s">
        <v>215</v>
      </c>
    </row>
    <row r="22" customFormat="false" ht="15" hidden="false" customHeight="false" outlineLevel="0" collapsed="false">
      <c r="A22" s="3" t="s">
        <v>216</v>
      </c>
      <c r="B22" s="3"/>
      <c r="C22" s="3"/>
      <c r="D22" s="3"/>
      <c r="E22" s="3"/>
    </row>
    <row r="23" customFormat="false" ht="15" hidden="false" customHeight="false" outlineLevel="0" collapsed="false">
      <c r="A23" s="7" t="s">
        <v>217</v>
      </c>
      <c r="B23" s="7" t="s">
        <v>218</v>
      </c>
      <c r="C23" s="7" t="s">
        <v>128</v>
      </c>
      <c r="D23" s="7" t="s">
        <v>219</v>
      </c>
      <c r="E23" s="7" t="s">
        <v>220</v>
      </c>
    </row>
    <row r="24" customFormat="false" ht="15" hidden="false" customHeight="false" outlineLevel="0" collapsed="false">
      <c r="A24" s="10" t="s">
        <v>221</v>
      </c>
      <c r="B24" s="10" t="s">
        <v>222</v>
      </c>
      <c r="C24" s="10" t="s">
        <v>83</v>
      </c>
      <c r="D24" s="10" t="s">
        <v>223</v>
      </c>
      <c r="E24" s="10" t="s">
        <v>224</v>
      </c>
    </row>
    <row r="25" customFormat="false" ht="15" hidden="false" customHeight="false" outlineLevel="0" collapsed="false">
      <c r="A25" s="10" t="s">
        <v>225</v>
      </c>
      <c r="B25" s="10" t="s">
        <v>226</v>
      </c>
      <c r="C25" s="10" t="s">
        <v>227</v>
      </c>
      <c r="D25" s="10" t="s">
        <v>228</v>
      </c>
      <c r="E25" s="10" t="s">
        <v>229</v>
      </c>
    </row>
    <row r="26" customFormat="false" ht="15" hidden="false" customHeight="false" outlineLevel="0" collapsed="false">
      <c r="A26" s="10" t="s">
        <v>230</v>
      </c>
      <c r="B26" s="10" t="s">
        <v>231</v>
      </c>
      <c r="C26" s="10" t="s">
        <v>232</v>
      </c>
      <c r="D26" s="10" t="s">
        <v>233</v>
      </c>
      <c r="E26" s="10" t="s">
        <v>229</v>
      </c>
    </row>
    <row r="27" customFormat="false" ht="15" hidden="false" customHeight="false" outlineLevel="0" collapsed="false">
      <c r="A27" s="10" t="s">
        <v>234</v>
      </c>
      <c r="B27" s="10" t="s">
        <v>235</v>
      </c>
      <c r="C27" s="10" t="s">
        <v>236</v>
      </c>
      <c r="D27" s="10" t="s">
        <v>237</v>
      </c>
      <c r="E27" s="10" t="s">
        <v>238</v>
      </c>
    </row>
    <row r="28" customFormat="false" ht="15" hidden="false" customHeight="false" outlineLevel="0" collapsed="false">
      <c r="A28" s="10" t="s">
        <v>239</v>
      </c>
      <c r="B28" s="10" t="s">
        <v>240</v>
      </c>
      <c r="C28" s="10" t="s">
        <v>61</v>
      </c>
      <c r="D28" s="10" t="s">
        <v>241</v>
      </c>
      <c r="E28" s="10" t="s">
        <v>242</v>
      </c>
    </row>
    <row r="29" customFormat="false" ht="15" hidden="false" customHeight="false" outlineLevel="0" collapsed="false">
      <c r="A29" s="10" t="s">
        <v>243</v>
      </c>
      <c r="B29" s="10" t="s">
        <v>244</v>
      </c>
      <c r="C29" s="10" t="s">
        <v>86</v>
      </c>
      <c r="D29" s="10" t="s">
        <v>86</v>
      </c>
      <c r="E29" s="10" t="s">
        <v>245</v>
      </c>
    </row>
    <row r="30" customFormat="false" ht="15" hidden="false" customHeight="false" outlineLevel="0" collapsed="false">
      <c r="A30" s="10" t="s">
        <v>246</v>
      </c>
      <c r="B30" s="10" t="s">
        <v>247</v>
      </c>
      <c r="C30" s="10" t="s">
        <v>83</v>
      </c>
      <c r="D30" s="10" t="s">
        <v>248</v>
      </c>
      <c r="E30" s="10" t="s">
        <v>249</v>
      </c>
    </row>
  </sheetData>
  <mergeCells count="4">
    <mergeCell ref="A1:H1"/>
    <mergeCell ref="A4:E4"/>
    <mergeCell ref="A14:E14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">
        <v>250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251</v>
      </c>
    </row>
    <row r="4" customFormat="false" ht="15" hidden="false" customHeight="false" outlineLevel="0" collapsed="false">
      <c r="A4" s="3" t="s">
        <v>252</v>
      </c>
      <c r="B4" s="3"/>
      <c r="C4" s="3"/>
      <c r="D4" s="3"/>
    </row>
    <row r="5" customFormat="false" ht="15" hidden="false" customHeight="false" outlineLevel="0" collapsed="false">
      <c r="A5" s="0" t="s">
        <v>253</v>
      </c>
      <c r="B5" s="4" t="n">
        <v>3.97</v>
      </c>
      <c r="C5" s="5" t="s">
        <v>36</v>
      </c>
      <c r="D5" s="5" t="s">
        <v>254</v>
      </c>
    </row>
    <row r="6" customFormat="false" ht="15" hidden="false" customHeight="false" outlineLevel="0" collapsed="false">
      <c r="A6" s="0" t="s">
        <v>255</v>
      </c>
      <c r="B6" s="4" t="n">
        <v>3.8</v>
      </c>
      <c r="C6" s="5" t="s">
        <v>36</v>
      </c>
      <c r="D6" s="5" t="s">
        <v>256</v>
      </c>
    </row>
    <row r="9" customFormat="false" ht="15" hidden="false" customHeight="false" outlineLevel="0" collapsed="false">
      <c r="A9" s="3" t="s">
        <v>257</v>
      </c>
      <c r="B9" s="3"/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26" t="s">
        <v>74</v>
      </c>
      <c r="B10" s="26" t="s">
        <v>76</v>
      </c>
      <c r="C10" s="26" t="s">
        <v>258</v>
      </c>
      <c r="D10" s="26" t="s">
        <v>259</v>
      </c>
      <c r="E10" s="26" t="s">
        <v>260</v>
      </c>
      <c r="F10" s="26" t="s">
        <v>261</v>
      </c>
      <c r="G10" s="26" t="s">
        <v>262</v>
      </c>
      <c r="H10" s="26" t="s">
        <v>263</v>
      </c>
    </row>
    <row r="11" customFormat="false" ht="15" hidden="false" customHeight="false" outlineLevel="0" collapsed="false">
      <c r="A11" s="0" t="s">
        <v>26</v>
      </c>
      <c r="B11" s="27" t="n">
        <v>377.325</v>
      </c>
      <c r="C11" s="8" t="n">
        <f aca="false">B11/SUM($B$11:$B$19)</f>
        <v>0.84375</v>
      </c>
      <c r="D11" s="4" t="n">
        <v>82</v>
      </c>
      <c r="E11" s="8" t="n">
        <f aca="false">$B$5+D11/100</f>
        <v>4.79</v>
      </c>
      <c r="F11" s="4" t="n">
        <v>123</v>
      </c>
      <c r="G11" s="8" t="n">
        <f aca="false">$B$5+F11/100</f>
        <v>5.2</v>
      </c>
      <c r="H11" s="31" t="n">
        <f aca="false">B11*E11*10</f>
        <v>18073.8675</v>
      </c>
    </row>
    <row r="12" customFormat="false" ht="15" hidden="false" customHeight="false" outlineLevel="0" collapsed="false">
      <c r="A12" s="0" t="s">
        <v>85</v>
      </c>
      <c r="B12" s="27" t="n">
        <v>23.65</v>
      </c>
      <c r="C12" s="8" t="n">
        <f aca="false">B12/SUM($B$11:$B$19)</f>
        <v>0.0528846153846154</v>
      </c>
      <c r="D12" s="4" t="n">
        <v>110</v>
      </c>
      <c r="E12" s="8" t="n">
        <f aca="false">$B$5+D12/100</f>
        <v>5.07</v>
      </c>
      <c r="F12" s="4" t="n">
        <v>165</v>
      </c>
      <c r="G12" s="8" t="n">
        <f aca="false">$B$5+F12/100</f>
        <v>5.62</v>
      </c>
      <c r="H12" s="31" t="n">
        <f aca="false">B12*E12*10</f>
        <v>1199.055</v>
      </c>
    </row>
    <row r="13" customFormat="false" ht="15" hidden="false" customHeight="false" outlineLevel="0" collapsed="false">
      <c r="A13" s="0" t="s">
        <v>87</v>
      </c>
      <c r="B13" s="27" t="n">
        <v>13.975</v>
      </c>
      <c r="C13" s="8" t="n">
        <f aca="false">B13/SUM($B$11:$B$19)</f>
        <v>0.03125</v>
      </c>
      <c r="D13" s="4" t="n">
        <v>140</v>
      </c>
      <c r="E13" s="8" t="n">
        <f aca="false">$B$5+D13/100</f>
        <v>5.37</v>
      </c>
      <c r="F13" s="4" t="n">
        <v>210</v>
      </c>
      <c r="G13" s="8" t="n">
        <f aca="false">$B$5+F13/100</f>
        <v>6.07</v>
      </c>
      <c r="H13" s="31" t="n">
        <f aca="false">B13*E13*10</f>
        <v>750.4575</v>
      </c>
    </row>
    <row r="14" customFormat="false" ht="15" hidden="false" customHeight="false" outlineLevel="0" collapsed="false">
      <c r="A14" s="0" t="s">
        <v>89</v>
      </c>
      <c r="B14" s="27" t="n">
        <v>7.525</v>
      </c>
      <c r="C14" s="8" t="n">
        <f aca="false">B14/SUM($B$11:$B$19)</f>
        <v>0.0168269230769231</v>
      </c>
      <c r="D14" s="4" t="n">
        <v>165</v>
      </c>
      <c r="E14" s="8" t="n">
        <f aca="false">$B$5+D14/100</f>
        <v>5.62</v>
      </c>
      <c r="F14" s="4" t="n">
        <v>248</v>
      </c>
      <c r="G14" s="8" t="n">
        <f aca="false">$B$5+F14/100</f>
        <v>6.45</v>
      </c>
      <c r="H14" s="31" t="n">
        <f aca="false">B14*E14*10</f>
        <v>422.905</v>
      </c>
    </row>
    <row r="15" customFormat="false" ht="15" hidden="false" customHeight="false" outlineLevel="0" collapsed="false">
      <c r="A15" s="0" t="s">
        <v>91</v>
      </c>
      <c r="B15" s="27" t="n">
        <v>3.225</v>
      </c>
      <c r="C15" s="8" t="n">
        <f aca="false">B15/SUM($B$11:$B$19)</f>
        <v>0.00721153846153846</v>
      </c>
      <c r="D15" s="4" t="n">
        <v>248</v>
      </c>
      <c r="E15" s="8" t="n">
        <f aca="false">$B$5+D15/100</f>
        <v>6.45</v>
      </c>
      <c r="F15" s="4" t="n">
        <v>348</v>
      </c>
      <c r="G15" s="8" t="n">
        <f aca="false">$B$5+F15/100</f>
        <v>7.45</v>
      </c>
      <c r="H15" s="31" t="n">
        <f aca="false">B15*E15*10</f>
        <v>208.0125</v>
      </c>
    </row>
    <row r="16" customFormat="false" ht="15" hidden="false" customHeight="false" outlineLevel="0" collapsed="false">
      <c r="A16" s="0" t="s">
        <v>93</v>
      </c>
      <c r="B16" s="27" t="n">
        <v>3.44</v>
      </c>
      <c r="C16" s="8" t="n">
        <f aca="false">B16/SUM($B$11:$B$19)</f>
        <v>0.00769230769230769</v>
      </c>
      <c r="D16" s="4" t="n">
        <v>398</v>
      </c>
      <c r="E16" s="8" t="n">
        <f aca="false">$B$5+D16/100</f>
        <v>7.95</v>
      </c>
      <c r="F16" s="4" t="n">
        <v>498</v>
      </c>
      <c r="G16" s="8" t="n">
        <f aca="false">$B$5+F16/100</f>
        <v>8.95</v>
      </c>
      <c r="H16" s="31" t="n">
        <f aca="false">B16*E16*10</f>
        <v>273.48</v>
      </c>
    </row>
    <row r="17" customFormat="false" ht="15" hidden="false" customHeight="false" outlineLevel="0" collapsed="false">
      <c r="A17" s="0" t="s">
        <v>95</v>
      </c>
      <c r="B17" s="27" t="n">
        <v>0.86</v>
      </c>
      <c r="C17" s="8" t="n">
        <f aca="false">B17/SUM($B$11:$B$19)</f>
        <v>0.00192307692307692</v>
      </c>
      <c r="D17" s="4" t="n">
        <v>548</v>
      </c>
      <c r="E17" s="8" t="n">
        <f aca="false">$B$5+D17/100</f>
        <v>9.45</v>
      </c>
      <c r="F17" s="4" t="n">
        <v>648</v>
      </c>
      <c r="G17" s="8" t="n">
        <f aca="false">$B$5+F17/100</f>
        <v>10.45</v>
      </c>
      <c r="H17" s="31" t="n">
        <f aca="false">B17*E17*10</f>
        <v>81.27</v>
      </c>
    </row>
    <row r="18" customFormat="false" ht="15" hidden="false" customHeight="false" outlineLevel="0" collapsed="false">
      <c r="A18" s="0" t="s">
        <v>98</v>
      </c>
      <c r="B18" s="27" t="n">
        <v>10.75</v>
      </c>
      <c r="C18" s="8" t="n">
        <f aca="false">B18/SUM($B$11:$B$19)</f>
        <v>0.0240384615384615</v>
      </c>
      <c r="D18" s="4" t="n">
        <v>359</v>
      </c>
      <c r="E18" s="8" t="n">
        <f aca="false">$B$5+D18/100</f>
        <v>7.56</v>
      </c>
      <c r="F18" s="4" t="n">
        <v>359</v>
      </c>
      <c r="G18" s="8" t="n">
        <f aca="false">$B$5+F18/100</f>
        <v>7.56</v>
      </c>
      <c r="H18" s="31" t="n">
        <f aca="false">B18*E18*10</f>
        <v>812.7</v>
      </c>
    </row>
    <row r="19" customFormat="false" ht="15" hidden="false" customHeight="false" outlineLevel="0" collapsed="false">
      <c r="A19" s="0" t="s">
        <v>100</v>
      </c>
      <c r="B19" s="27" t="n">
        <v>6.45</v>
      </c>
      <c r="C19" s="8" t="n">
        <f aca="false">B19/SUM($B$11:$B$19)</f>
        <v>0.0144230769230769</v>
      </c>
      <c r="D19" s="4" t="n">
        <v>359</v>
      </c>
      <c r="E19" s="8" t="n">
        <f aca="false">$B$5+D19/100</f>
        <v>7.56</v>
      </c>
      <c r="F19" s="4" t="n">
        <v>359</v>
      </c>
      <c r="G19" s="8" t="n">
        <f aca="false">$B$5+F19/100</f>
        <v>7.56</v>
      </c>
      <c r="H19" s="31" t="n">
        <f aca="false">B19*E19*10</f>
        <v>487.62</v>
      </c>
    </row>
    <row r="20" customFormat="false" ht="15" hidden="false" customHeight="false" outlineLevel="0" collapsed="false">
      <c r="A20" s="14" t="s">
        <v>264</v>
      </c>
      <c r="B20" s="15" t="n">
        <f aca="false">SUM(B11:B19)</f>
        <v>447.2</v>
      </c>
      <c r="C20" s="8" t="n">
        <f aca="false">SUM(C11:C19)</f>
        <v>1</v>
      </c>
      <c r="D20" s="16" t="n">
        <f aca="false">SUMPRODUCT(B11:B19,D11:D19)/B20</f>
        <v>101.867788461538</v>
      </c>
      <c r="E20" s="8" t="n">
        <f aca="false">SUMPRODUCT(B11:B19,E11:E19)/B20</f>
        <v>4.98867788461538</v>
      </c>
      <c r="F20" s="16" t="n">
        <f aca="false">SUMPRODUCT(B11:B19,F11:F19)/B20</f>
        <v>144.637019230769</v>
      </c>
      <c r="G20" s="8" t="n">
        <f aca="false">SUMPRODUCT(B11:B19,G11:G19)/B20</f>
        <v>5.41637019230769</v>
      </c>
      <c r="H20" s="31" t="n">
        <f aca="false">SUM(H11:H19)</f>
        <v>22309.3675</v>
      </c>
    </row>
    <row r="23" customFormat="false" ht="15" hidden="false" customHeight="false" outlineLevel="0" collapsed="false">
      <c r="A23" s="3" t="s">
        <v>265</v>
      </c>
      <c r="B23" s="3"/>
      <c r="C23" s="3"/>
      <c r="D23" s="3"/>
    </row>
    <row r="24" customFormat="false" ht="15" hidden="false" customHeight="false" outlineLevel="0" collapsed="false">
      <c r="A24" s="0" t="s">
        <v>266</v>
      </c>
      <c r="B24" s="16" t="n">
        <f aca="false">D20</f>
        <v>101.867788461538</v>
      </c>
      <c r="C24" s="5" t="s">
        <v>108</v>
      </c>
    </row>
    <row r="25" customFormat="false" ht="15" hidden="false" customHeight="false" outlineLevel="0" collapsed="false">
      <c r="A25" s="0" t="s">
        <v>267</v>
      </c>
      <c r="B25" s="16" t="n">
        <f aca="false">F20</f>
        <v>144.637019230769</v>
      </c>
      <c r="C25" s="5" t="s">
        <v>108</v>
      </c>
    </row>
    <row r="26" customFormat="false" ht="15" hidden="false" customHeight="false" outlineLevel="0" collapsed="false">
      <c r="A26" s="0" t="s">
        <v>268</v>
      </c>
      <c r="B26" s="8" t="n">
        <f aca="false">E20</f>
        <v>4.98867788461538</v>
      </c>
      <c r="C26" s="5" t="s">
        <v>36</v>
      </c>
      <c r="D26" s="5" t="s">
        <v>269</v>
      </c>
    </row>
    <row r="27" customFormat="false" ht="15" hidden="false" customHeight="false" outlineLevel="0" collapsed="false">
      <c r="A27" s="0" t="s">
        <v>270</v>
      </c>
      <c r="B27" s="8" t="n">
        <f aca="false">G20</f>
        <v>5.41637019230769</v>
      </c>
      <c r="C27" s="5" t="s">
        <v>36</v>
      </c>
    </row>
    <row r="28" customFormat="false" ht="15" hidden="false" customHeight="false" outlineLevel="0" collapsed="false">
      <c r="A28" s="0" t="s">
        <v>271</v>
      </c>
      <c r="B28" s="0" t="n">
        <f aca="false">H20/1000</f>
        <v>22.3093675</v>
      </c>
      <c r="C28" s="0" t="s">
        <v>161</v>
      </c>
      <c r="D28" s="0" t="s">
        <v>272</v>
      </c>
    </row>
    <row r="29" customFormat="false" ht="15" hidden="false" customHeight="false" outlineLevel="0" collapsed="false">
      <c r="A29" s="0" t="s">
        <v>273</v>
      </c>
      <c r="B29" s="0" t="n">
        <f aca="false">(G20-E20)*B20*10</f>
        <v>1912.64</v>
      </c>
      <c r="C29" s="0" t="s">
        <v>274</v>
      </c>
      <c r="D29" s="0" t="s">
        <v>275</v>
      </c>
    </row>
  </sheetData>
  <mergeCells count="4">
    <mergeCell ref="A1:I1"/>
    <mergeCell ref="A4:D4"/>
    <mergeCell ref="A9:H9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276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277</v>
      </c>
    </row>
    <row r="4" customFormat="false" ht="15" hidden="false" customHeight="false" outlineLevel="0" collapsed="false">
      <c r="A4" s="3" t="s">
        <v>278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7" t="s">
        <v>279</v>
      </c>
      <c r="B5" s="7" t="s">
        <v>19</v>
      </c>
      <c r="C5" s="7" t="s">
        <v>20</v>
      </c>
      <c r="D5" s="7" t="s">
        <v>280</v>
      </c>
      <c r="E5" s="7" t="s">
        <v>281</v>
      </c>
      <c r="F5" s="7" t="s">
        <v>282</v>
      </c>
    </row>
    <row r="6" customFormat="false" ht="15" hidden="false" customHeight="false" outlineLevel="0" collapsed="false">
      <c r="A6" s="0" t="s">
        <v>171</v>
      </c>
      <c r="B6" s="16" t="n">
        <v>30.82</v>
      </c>
      <c r="C6" s="16" t="n">
        <v>35.3</v>
      </c>
      <c r="D6" s="8" t="n">
        <f aca="false">B6*C6/100</f>
        <v>10.87946</v>
      </c>
      <c r="E6" s="8" t="n">
        <f aca="false">D6</f>
        <v>10.87946</v>
      </c>
      <c r="F6" s="5" t="s">
        <v>62</v>
      </c>
    </row>
    <row r="7" customFormat="false" ht="15" hidden="false" customHeight="false" outlineLevel="0" collapsed="false">
      <c r="A7" s="0" t="s">
        <v>283</v>
      </c>
      <c r="B7" s="16" t="n">
        <f aca="false">30.82*1.1</f>
        <v>33.902</v>
      </c>
      <c r="C7" s="16" t="n">
        <v>35.3</v>
      </c>
      <c r="D7" s="8" t="n">
        <f aca="false">B7*C7/100</f>
        <v>11.967406</v>
      </c>
      <c r="E7" s="8" t="n">
        <f aca="false">D7</f>
        <v>11.967406</v>
      </c>
      <c r="F7" s="32" t="n">
        <f aca="false">E7-$E$6</f>
        <v>1.087946</v>
      </c>
    </row>
    <row r="8" customFormat="false" ht="15" hidden="false" customHeight="false" outlineLevel="0" collapsed="false">
      <c r="A8" s="0" t="s">
        <v>284</v>
      </c>
      <c r="B8" s="16" t="n">
        <f aca="false">30.82*1.2</f>
        <v>36.984</v>
      </c>
      <c r="C8" s="16" t="n">
        <v>35.3</v>
      </c>
      <c r="D8" s="8" t="n">
        <f aca="false">B8*C8/100</f>
        <v>13.055352</v>
      </c>
      <c r="E8" s="8" t="n">
        <f aca="false">D8</f>
        <v>13.055352</v>
      </c>
      <c r="F8" s="32" t="n">
        <f aca="false">E8-$E$6</f>
        <v>2.175892</v>
      </c>
    </row>
    <row r="9" customFormat="false" ht="15" hidden="false" customHeight="false" outlineLevel="0" collapsed="false">
      <c r="A9" s="0" t="s">
        <v>285</v>
      </c>
      <c r="B9" s="16" t="n">
        <f aca="false">30.82*1.3</f>
        <v>40.066</v>
      </c>
      <c r="C9" s="16" t="n">
        <v>35.3</v>
      </c>
      <c r="D9" s="8" t="n">
        <f aca="false">B9*C9/100</f>
        <v>14.143298</v>
      </c>
      <c r="E9" s="8" t="n">
        <f aca="false">D9</f>
        <v>14.143298</v>
      </c>
      <c r="F9" s="32" t="n">
        <f aca="false">E9-$E$6</f>
        <v>3.263838</v>
      </c>
    </row>
    <row r="10" customFormat="false" ht="15" hidden="false" customHeight="false" outlineLevel="0" collapsed="false">
      <c r="A10" s="0" t="s">
        <v>286</v>
      </c>
      <c r="B10" s="16" t="n">
        <f aca="false">30.82*0.9</f>
        <v>27.738</v>
      </c>
      <c r="C10" s="16" t="n">
        <v>35.3</v>
      </c>
      <c r="D10" s="8" t="n">
        <f aca="false">B10*C10/100</f>
        <v>9.791514</v>
      </c>
      <c r="E10" s="8" t="n">
        <f aca="false">D10</f>
        <v>9.791514</v>
      </c>
      <c r="F10" s="32" t="n">
        <f aca="false">E10-$E$6</f>
        <v>-1.087946</v>
      </c>
    </row>
    <row r="11" customFormat="false" ht="15" hidden="false" customHeight="false" outlineLevel="0" collapsed="false">
      <c r="A11" s="0" t="s">
        <v>287</v>
      </c>
      <c r="B11" s="16" t="n">
        <f aca="false">30.82*0.85</f>
        <v>26.197</v>
      </c>
      <c r="C11" s="16" t="n">
        <v>35.3</v>
      </c>
      <c r="D11" s="8" t="n">
        <f aca="false">B11*C11/100</f>
        <v>9.247541</v>
      </c>
      <c r="E11" s="8" t="n">
        <f aca="false">D11</f>
        <v>9.247541</v>
      </c>
      <c r="F11" s="32" t="n">
        <f aca="false">E11-$E$6</f>
        <v>-1.631919</v>
      </c>
    </row>
    <row r="14" customFormat="false" ht="15" hidden="false" customHeight="false" outlineLevel="0" collapsed="false">
      <c r="A14" s="3" t="s">
        <v>288</v>
      </c>
      <c r="B14" s="3"/>
      <c r="C14" s="3"/>
      <c r="D14" s="3"/>
      <c r="E14" s="3"/>
      <c r="F14" s="3"/>
    </row>
    <row r="15" customFormat="false" ht="15" hidden="false" customHeight="false" outlineLevel="0" collapsed="false">
      <c r="A15" s="7" t="s">
        <v>279</v>
      </c>
      <c r="B15" s="7" t="s">
        <v>19</v>
      </c>
      <c r="C15" s="7" t="s">
        <v>20</v>
      </c>
      <c r="D15" s="7" t="s">
        <v>280</v>
      </c>
      <c r="E15" s="7" t="s">
        <v>281</v>
      </c>
      <c r="F15" s="7" t="s">
        <v>282</v>
      </c>
    </row>
    <row r="16" customFormat="false" ht="15" hidden="false" customHeight="false" outlineLevel="0" collapsed="false">
      <c r="A16" s="0" t="s">
        <v>171</v>
      </c>
      <c r="B16" s="16" t="n">
        <v>30.82</v>
      </c>
      <c r="C16" s="16" t="n">
        <v>35.3</v>
      </c>
      <c r="D16" s="8" t="n">
        <f aca="false">B16*C16/100</f>
        <v>10.87946</v>
      </c>
      <c r="E16" s="8" t="n">
        <f aca="false">D16</f>
        <v>10.87946</v>
      </c>
      <c r="F16" s="5" t="s">
        <v>62</v>
      </c>
    </row>
    <row r="17" customFormat="false" ht="15" hidden="false" customHeight="false" outlineLevel="0" collapsed="false">
      <c r="A17" s="0" t="s">
        <v>289</v>
      </c>
      <c r="B17" s="16" t="n">
        <v>30.82</v>
      </c>
      <c r="C17" s="16" t="n">
        <f aca="false">35.3*1.1</f>
        <v>38.83</v>
      </c>
      <c r="D17" s="8" t="n">
        <f aca="false">B17*C17/100</f>
        <v>11.967406</v>
      </c>
      <c r="E17" s="8" t="n">
        <f aca="false">D17</f>
        <v>11.967406</v>
      </c>
      <c r="F17" s="32" t="n">
        <f aca="false">E17-$E$16</f>
        <v>1.087946</v>
      </c>
    </row>
    <row r="18" customFormat="false" ht="15" hidden="false" customHeight="false" outlineLevel="0" collapsed="false">
      <c r="A18" s="0" t="s">
        <v>290</v>
      </c>
      <c r="B18" s="16" t="n">
        <v>30.82</v>
      </c>
      <c r="C18" s="16" t="n">
        <f aca="false">35.3*1.2</f>
        <v>42.36</v>
      </c>
      <c r="D18" s="8" t="n">
        <f aca="false">B18*C18/100</f>
        <v>13.055352</v>
      </c>
      <c r="E18" s="8" t="n">
        <f aca="false">D18</f>
        <v>13.055352</v>
      </c>
      <c r="F18" s="32" t="n">
        <f aca="false">E18-$E$16</f>
        <v>2.175892</v>
      </c>
    </row>
    <row r="19" customFormat="false" ht="15" hidden="false" customHeight="false" outlineLevel="0" collapsed="false">
      <c r="A19" s="0" t="s">
        <v>291</v>
      </c>
      <c r="B19" s="16" t="n">
        <v>30.82</v>
      </c>
      <c r="C19" s="16" t="n">
        <f aca="false">35.3*1.3</f>
        <v>45.89</v>
      </c>
      <c r="D19" s="8" t="n">
        <f aca="false">B19*C19/100</f>
        <v>14.143298</v>
      </c>
      <c r="E19" s="8" t="n">
        <f aca="false">D19</f>
        <v>14.143298</v>
      </c>
      <c r="F19" s="32" t="n">
        <f aca="false">E19-$E$16</f>
        <v>3.263838</v>
      </c>
    </row>
    <row r="20" customFormat="false" ht="15" hidden="false" customHeight="false" outlineLevel="0" collapsed="false">
      <c r="A20" s="0" t="s">
        <v>292</v>
      </c>
      <c r="B20" s="16" t="n">
        <v>30.82</v>
      </c>
      <c r="C20" s="16" t="n">
        <f aca="false">35.3*0.9</f>
        <v>31.77</v>
      </c>
      <c r="D20" s="8" t="n">
        <f aca="false">B20*C20/100</f>
        <v>9.791514</v>
      </c>
      <c r="E20" s="8" t="n">
        <f aca="false">D20</f>
        <v>9.791514</v>
      </c>
      <c r="F20" s="32" t="n">
        <f aca="false">E20-$E$16</f>
        <v>-1.087946</v>
      </c>
    </row>
    <row r="21" customFormat="false" ht="15" hidden="false" customHeight="false" outlineLevel="0" collapsed="false">
      <c r="A21" s="0" t="s">
        <v>293</v>
      </c>
      <c r="B21" s="16" t="n">
        <v>30.82</v>
      </c>
      <c r="C21" s="16" t="n">
        <f aca="false">35.3*0.85</f>
        <v>30.005</v>
      </c>
      <c r="D21" s="8" t="n">
        <f aca="false">B21*C21/100</f>
        <v>9.247541</v>
      </c>
      <c r="E21" s="8" t="n">
        <f aca="false">D21</f>
        <v>9.247541</v>
      </c>
      <c r="F21" s="32" t="n">
        <f aca="false">E21-$E$16</f>
        <v>-1.631919</v>
      </c>
    </row>
    <row r="24" customFormat="false" ht="15" hidden="false" customHeight="false" outlineLevel="0" collapsed="false">
      <c r="A24" s="3" t="s">
        <v>294</v>
      </c>
      <c r="B24" s="3"/>
      <c r="C24" s="3"/>
      <c r="D24" s="3"/>
      <c r="E24" s="3"/>
      <c r="F24" s="3"/>
    </row>
    <row r="25" customFormat="false" ht="15" hidden="false" customHeight="false" outlineLevel="0" collapsed="false">
      <c r="A25" s="7" t="s">
        <v>127</v>
      </c>
      <c r="B25" s="7" t="s">
        <v>295</v>
      </c>
      <c r="C25" s="7" t="s">
        <v>296</v>
      </c>
      <c r="D25" s="7" t="s">
        <v>297</v>
      </c>
      <c r="E25" s="7" t="s">
        <v>298</v>
      </c>
      <c r="F25" s="7" t="s">
        <v>299</v>
      </c>
    </row>
    <row r="26" customFormat="false" ht="15" hidden="false" customHeight="false" outlineLevel="0" collapsed="false">
      <c r="A26" s="33" t="n">
        <v>1.15</v>
      </c>
      <c r="B26" s="16" t="n">
        <v>26.8</v>
      </c>
      <c r="C26" s="16" t="n">
        <f aca="false">B26*A26</f>
        <v>30.82</v>
      </c>
      <c r="D26" s="8" t="n">
        <f aca="false">C26*35.3/100</f>
        <v>10.87946</v>
      </c>
      <c r="E26" s="8" t="n">
        <f aca="false">D26</f>
        <v>10.87946</v>
      </c>
      <c r="F26" s="5" t="s">
        <v>62</v>
      </c>
    </row>
    <row r="27" customFormat="false" ht="15" hidden="false" customHeight="false" outlineLevel="0" collapsed="false">
      <c r="A27" s="33" t="n">
        <v>1.1</v>
      </c>
      <c r="B27" s="16" t="n">
        <v>26.8</v>
      </c>
      <c r="C27" s="16" t="n">
        <f aca="false">B27*A27</f>
        <v>29.48</v>
      </c>
      <c r="D27" s="8" t="n">
        <f aca="false">C27*35.3/100</f>
        <v>10.40644</v>
      </c>
      <c r="E27" s="8" t="n">
        <f aca="false">D27</f>
        <v>10.40644</v>
      </c>
      <c r="F27" s="32" t="n">
        <f aca="false">$E$26-E27</f>
        <v>0.473019999999996</v>
      </c>
    </row>
    <row r="28" customFormat="false" ht="15" hidden="false" customHeight="false" outlineLevel="0" collapsed="false">
      <c r="A28" s="33" t="n">
        <v>1.08</v>
      </c>
      <c r="B28" s="16" t="n">
        <v>26.8</v>
      </c>
      <c r="C28" s="16" t="n">
        <f aca="false">B28*A28</f>
        <v>28.944</v>
      </c>
      <c r="D28" s="8" t="n">
        <f aca="false">C28*35.3/100</f>
        <v>10.217232</v>
      </c>
      <c r="E28" s="8" t="n">
        <f aca="false">D28</f>
        <v>10.217232</v>
      </c>
      <c r="F28" s="32" t="n">
        <f aca="false">$E$26-E28</f>
        <v>0.662227999999995</v>
      </c>
    </row>
    <row r="29" customFormat="false" ht="15" hidden="false" customHeight="false" outlineLevel="0" collapsed="false">
      <c r="A29" s="33" t="n">
        <v>1.05</v>
      </c>
      <c r="B29" s="16" t="n">
        <v>26.8</v>
      </c>
      <c r="C29" s="16" t="n">
        <f aca="false">B29*A29</f>
        <v>28.14</v>
      </c>
      <c r="D29" s="8" t="n">
        <f aca="false">C29*35.3/100</f>
        <v>9.93342</v>
      </c>
      <c r="E29" s="8" t="n">
        <f aca="false">D29</f>
        <v>9.93342</v>
      </c>
      <c r="F29" s="32" t="n">
        <f aca="false">$E$26-E29</f>
        <v>0.946039999999996</v>
      </c>
    </row>
  </sheetData>
  <mergeCells count="4">
    <mergeCell ref="A1:G1"/>
    <mergeCell ref="A4:F4"/>
    <mergeCell ref="A14:F14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4" min="3" style="0" width="15"/>
    <col collapsed="false" customWidth="true" hidden="false" outlineLevel="0" max="6" min="5" style="0" width="12"/>
  </cols>
  <sheetData>
    <row r="1" customFormat="false" ht="19.7" hidden="false" customHeight="false" outlineLevel="0" collapsed="false">
      <c r="A1" s="1" t="s">
        <v>300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301</v>
      </c>
    </row>
    <row r="4" customFormat="false" ht="15" hidden="false" customHeight="false" outlineLevel="0" collapsed="false">
      <c r="A4" s="3" t="s">
        <v>302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34" t="s">
        <v>303</v>
      </c>
      <c r="B5" s="34" t="s">
        <v>304</v>
      </c>
      <c r="C5" s="34" t="s">
        <v>305</v>
      </c>
    </row>
    <row r="6" customFormat="false" ht="15" hidden="false" customHeight="false" outlineLevel="0" collapsed="false">
      <c r="A6" s="10" t="s">
        <v>306</v>
      </c>
      <c r="B6" s="10" t="s">
        <v>307</v>
      </c>
      <c r="C6" s="10" t="s">
        <v>308</v>
      </c>
    </row>
    <row r="7" customFormat="false" ht="15" hidden="false" customHeight="false" outlineLevel="0" collapsed="false">
      <c r="A7" s="10" t="s">
        <v>309</v>
      </c>
      <c r="B7" s="10" t="s">
        <v>310</v>
      </c>
      <c r="C7" s="10" t="s">
        <v>308</v>
      </c>
    </row>
    <row r="8" customFormat="false" ht="15" hidden="false" customHeight="false" outlineLevel="0" collapsed="false">
      <c r="A8" s="10" t="s">
        <v>311</v>
      </c>
      <c r="B8" s="10" t="s">
        <v>312</v>
      </c>
      <c r="C8" s="10" t="s">
        <v>313</v>
      </c>
    </row>
    <row r="9" customFormat="false" ht="15" hidden="false" customHeight="false" outlineLevel="0" collapsed="false">
      <c r="A9" s="10" t="s">
        <v>314</v>
      </c>
      <c r="B9" s="10" t="s">
        <v>315</v>
      </c>
      <c r="C9" s="10" t="s">
        <v>313</v>
      </c>
    </row>
    <row r="10" customFormat="false" ht="15" hidden="false" customHeight="false" outlineLevel="0" collapsed="false">
      <c r="A10" s="10" t="s">
        <v>316</v>
      </c>
      <c r="B10" s="10" t="s">
        <v>317</v>
      </c>
      <c r="C10" s="10" t="s">
        <v>318</v>
      </c>
    </row>
    <row r="11" customFormat="false" ht="15" hidden="false" customHeight="false" outlineLevel="0" collapsed="false">
      <c r="A11" s="10" t="s">
        <v>319</v>
      </c>
      <c r="B11" s="10" t="s">
        <v>320</v>
      </c>
      <c r="C11" s="10" t="s">
        <v>318</v>
      </c>
    </row>
    <row r="14" customFormat="false" ht="15" hidden="false" customHeight="false" outlineLevel="0" collapsed="false">
      <c r="A14" s="3" t="s">
        <v>321</v>
      </c>
      <c r="B14" s="3"/>
      <c r="C14" s="3"/>
      <c r="D14" s="3"/>
      <c r="E14" s="3"/>
      <c r="F14" s="3"/>
    </row>
    <row r="15" customFormat="false" ht="15" hidden="false" customHeight="false" outlineLevel="0" collapsed="false">
      <c r="A15" s="7" t="s">
        <v>322</v>
      </c>
      <c r="B15" s="7" t="s">
        <v>323</v>
      </c>
      <c r="C15" s="7" t="s">
        <v>324</v>
      </c>
      <c r="D15" s="7" t="s">
        <v>325</v>
      </c>
      <c r="E15" s="7" t="s">
        <v>326</v>
      </c>
      <c r="F15" s="7" t="s">
        <v>327</v>
      </c>
    </row>
    <row r="16" customFormat="false" ht="15" hidden="false" customHeight="false" outlineLevel="0" collapsed="false">
      <c r="A16" s="10" t="n">
        <v>1</v>
      </c>
      <c r="B16" s="10" t="s">
        <v>328</v>
      </c>
      <c r="C16" s="10" t="s">
        <v>329</v>
      </c>
      <c r="D16" s="10" t="s">
        <v>245</v>
      </c>
      <c r="E16" s="10" t="s">
        <v>308</v>
      </c>
      <c r="F16" s="10" t="s">
        <v>330</v>
      </c>
    </row>
    <row r="17" customFormat="false" ht="15" hidden="false" customHeight="false" outlineLevel="0" collapsed="false">
      <c r="A17" s="10" t="n">
        <v>2</v>
      </c>
      <c r="B17" s="10" t="s">
        <v>331</v>
      </c>
      <c r="C17" s="10" t="s">
        <v>332</v>
      </c>
      <c r="D17" s="10" t="s">
        <v>245</v>
      </c>
      <c r="E17" s="10" t="s">
        <v>313</v>
      </c>
      <c r="F17" s="10" t="s">
        <v>330</v>
      </c>
    </row>
    <row r="18" customFormat="false" ht="15" hidden="false" customHeight="false" outlineLevel="0" collapsed="false">
      <c r="A18" s="10" t="n">
        <v>3</v>
      </c>
      <c r="B18" s="10" t="s">
        <v>333</v>
      </c>
      <c r="C18" s="10" t="s">
        <v>334</v>
      </c>
      <c r="D18" s="10" t="s">
        <v>335</v>
      </c>
      <c r="E18" s="10" t="s">
        <v>308</v>
      </c>
      <c r="F18" s="10" t="s">
        <v>336</v>
      </c>
    </row>
    <row r="19" customFormat="false" ht="15" hidden="false" customHeight="false" outlineLevel="0" collapsed="false">
      <c r="A19" s="10" t="n">
        <v>4</v>
      </c>
      <c r="B19" s="10" t="s">
        <v>337</v>
      </c>
      <c r="C19" s="10" t="s">
        <v>338</v>
      </c>
      <c r="D19" s="10" t="s">
        <v>339</v>
      </c>
      <c r="E19" s="10" t="s">
        <v>308</v>
      </c>
      <c r="F19" s="10" t="s">
        <v>336</v>
      </c>
    </row>
    <row r="20" customFormat="false" ht="15" hidden="false" customHeight="false" outlineLevel="0" collapsed="false">
      <c r="A20" s="10" t="n">
        <v>5</v>
      </c>
      <c r="B20" s="10" t="s">
        <v>340</v>
      </c>
      <c r="C20" s="10" t="s">
        <v>341</v>
      </c>
      <c r="D20" s="10" t="s">
        <v>342</v>
      </c>
      <c r="E20" s="10" t="s">
        <v>318</v>
      </c>
      <c r="F20" s="10" t="s">
        <v>343</v>
      </c>
    </row>
    <row r="21" customFormat="false" ht="15" hidden="false" customHeight="false" outlineLevel="0" collapsed="false">
      <c r="A21" s="10" t="n">
        <v>6</v>
      </c>
      <c r="B21" s="10" t="s">
        <v>344</v>
      </c>
      <c r="C21" s="10" t="s">
        <v>345</v>
      </c>
      <c r="D21" s="10" t="s">
        <v>346</v>
      </c>
      <c r="E21" s="10" t="s">
        <v>308</v>
      </c>
      <c r="F21" s="10" t="s">
        <v>347</v>
      </c>
    </row>
    <row r="24" customFormat="false" ht="15" hidden="false" customHeight="false" outlineLevel="0" collapsed="false">
      <c r="A24" s="3" t="s">
        <v>348</v>
      </c>
      <c r="B24" s="3"/>
      <c r="C24" s="3"/>
      <c r="D24" s="3"/>
    </row>
    <row r="25" customFormat="false" ht="15" hidden="false" customHeight="false" outlineLevel="0" collapsed="false">
      <c r="A25" s="7" t="s">
        <v>148</v>
      </c>
      <c r="B25" s="7" t="s">
        <v>254</v>
      </c>
      <c r="C25" s="7" t="s">
        <v>349</v>
      </c>
      <c r="D25" s="7" t="s">
        <v>350</v>
      </c>
    </row>
    <row r="26" customFormat="false" ht="15" hidden="false" customHeight="false" outlineLevel="0" collapsed="false">
      <c r="A26" s="10" t="s">
        <v>103</v>
      </c>
      <c r="B26" s="10" t="s">
        <v>351</v>
      </c>
      <c r="C26" s="10" t="s">
        <v>352</v>
      </c>
      <c r="D26" s="35" t="s">
        <v>353</v>
      </c>
    </row>
    <row r="27" customFormat="false" ht="15" hidden="false" customHeight="false" outlineLevel="0" collapsed="false">
      <c r="A27" s="10" t="s">
        <v>354</v>
      </c>
      <c r="B27" s="10" t="s">
        <v>355</v>
      </c>
      <c r="C27" s="10" t="s">
        <v>356</v>
      </c>
      <c r="D27" s="35" t="s">
        <v>357</v>
      </c>
    </row>
    <row r="28" customFormat="false" ht="15" hidden="false" customHeight="false" outlineLevel="0" collapsed="false">
      <c r="A28" s="10" t="s">
        <v>188</v>
      </c>
      <c r="B28" s="10" t="s">
        <v>358</v>
      </c>
      <c r="C28" s="10" t="s">
        <v>359</v>
      </c>
      <c r="D28" s="35" t="s">
        <v>360</v>
      </c>
    </row>
    <row r="29" customFormat="false" ht="15" hidden="false" customHeight="false" outlineLevel="0" collapsed="false">
      <c r="A29" s="10" t="s">
        <v>361</v>
      </c>
      <c r="B29" s="10" t="s">
        <v>362</v>
      </c>
      <c r="C29" s="10" t="s">
        <v>363</v>
      </c>
      <c r="D29" s="35" t="s">
        <v>364</v>
      </c>
    </row>
    <row r="30" customFormat="false" ht="15" hidden="false" customHeight="false" outlineLevel="0" collapsed="false">
      <c r="A30" s="10" t="s">
        <v>234</v>
      </c>
      <c r="B30" s="10" t="s">
        <v>236</v>
      </c>
      <c r="C30" s="10" t="s">
        <v>365</v>
      </c>
      <c r="D30" s="35" t="s">
        <v>366</v>
      </c>
    </row>
  </sheetData>
  <mergeCells count="4">
    <mergeCell ref="A1:F1"/>
    <mergeCell ref="A4:F4"/>
    <mergeCell ref="A14:F14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25"/>
  </cols>
  <sheetData>
    <row r="1" customFormat="false" ht="19.7" hidden="false" customHeight="false" outlineLevel="0" collapsed="false">
      <c r="A1" s="1" t="s">
        <v>367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" t="s">
        <v>368</v>
      </c>
      <c r="B3" s="3"/>
      <c r="C3" s="3"/>
      <c r="D3" s="3"/>
    </row>
    <row r="4" customFormat="false" ht="15" hidden="false" customHeight="false" outlineLevel="0" collapsed="false">
      <c r="A4" s="7" t="s">
        <v>75</v>
      </c>
      <c r="B4" s="7" t="s">
        <v>369</v>
      </c>
      <c r="C4" s="7" t="s">
        <v>370</v>
      </c>
      <c r="D4" s="7" t="s">
        <v>22</v>
      </c>
    </row>
    <row r="5" customFormat="false" ht="15" hidden="false" customHeight="false" outlineLevel="0" collapsed="false">
      <c r="A5" s="10" t="s">
        <v>23</v>
      </c>
      <c r="B5" s="10" t="s">
        <v>371</v>
      </c>
      <c r="C5" s="10" t="n">
        <v>6.857</v>
      </c>
      <c r="D5" s="10" t="s">
        <v>372</v>
      </c>
    </row>
    <row r="6" customFormat="false" ht="15" hidden="false" customHeight="false" outlineLevel="0" collapsed="false">
      <c r="A6" s="10" t="s">
        <v>373</v>
      </c>
      <c r="B6" s="10" t="s">
        <v>374</v>
      </c>
      <c r="C6" s="10" t="n">
        <v>5.714</v>
      </c>
      <c r="D6" s="10"/>
    </row>
    <row r="7" customFormat="false" ht="15" hidden="false" customHeight="false" outlineLevel="0" collapsed="false">
      <c r="A7" s="10" t="s">
        <v>25</v>
      </c>
      <c r="B7" s="10" t="s">
        <v>374</v>
      </c>
      <c r="C7" s="10" t="n">
        <v>4.571</v>
      </c>
      <c r="D7" s="10"/>
    </row>
    <row r="8" customFormat="false" ht="15" hidden="false" customHeight="false" outlineLevel="0" collapsed="false">
      <c r="A8" s="10" t="s">
        <v>375</v>
      </c>
      <c r="B8" s="10" t="s">
        <v>374</v>
      </c>
      <c r="C8" s="10" t="n">
        <v>3.857</v>
      </c>
      <c r="D8" s="10"/>
    </row>
    <row r="9" customFormat="false" ht="15" hidden="false" customHeight="false" outlineLevel="0" collapsed="false">
      <c r="A9" s="10" t="s">
        <v>376</v>
      </c>
      <c r="B9" s="10" t="s">
        <v>377</v>
      </c>
      <c r="C9" s="10" t="n">
        <v>3.286</v>
      </c>
      <c r="D9" s="10"/>
    </row>
    <row r="10" customFormat="false" ht="15" hidden="false" customHeight="false" outlineLevel="0" collapsed="false">
      <c r="A10" s="10" t="s">
        <v>26</v>
      </c>
      <c r="B10" s="10" t="s">
        <v>377</v>
      </c>
      <c r="C10" s="10" t="n">
        <v>2.857</v>
      </c>
      <c r="D10" s="10"/>
    </row>
    <row r="11" customFormat="false" ht="15" hidden="false" customHeight="false" outlineLevel="0" collapsed="false">
      <c r="A11" s="10" t="s">
        <v>88</v>
      </c>
      <c r="B11" s="10" t="s">
        <v>377</v>
      </c>
      <c r="C11" s="10" t="n">
        <v>2.571</v>
      </c>
      <c r="D11" s="10"/>
    </row>
    <row r="12" customFormat="false" ht="15" hidden="false" customHeight="false" outlineLevel="0" collapsed="false">
      <c r="A12" s="10" t="s">
        <v>378</v>
      </c>
      <c r="B12" s="10" t="s">
        <v>379</v>
      </c>
      <c r="C12" s="10" t="n">
        <v>2.286</v>
      </c>
      <c r="D12" s="10"/>
    </row>
    <row r="13" customFormat="false" ht="15" hidden="false" customHeight="false" outlineLevel="0" collapsed="false">
      <c r="A13" s="10" t="s">
        <v>27</v>
      </c>
      <c r="B13" s="10" t="s">
        <v>379</v>
      </c>
      <c r="C13" s="10" t="n">
        <v>2</v>
      </c>
      <c r="D13" s="10"/>
    </row>
    <row r="14" customFormat="false" ht="15" hidden="false" customHeight="false" outlineLevel="0" collapsed="false">
      <c r="A14" s="10" t="s">
        <v>90</v>
      </c>
      <c r="B14" s="10" t="s">
        <v>379</v>
      </c>
      <c r="C14" s="10" t="n">
        <v>1.714</v>
      </c>
      <c r="D14" s="10"/>
    </row>
    <row r="15" customFormat="false" ht="15" hidden="false" customHeight="false" outlineLevel="0" collapsed="false">
      <c r="A15" s="10" t="s">
        <v>92</v>
      </c>
      <c r="B15" s="10" t="s">
        <v>380</v>
      </c>
      <c r="C15" s="10" t="n">
        <v>1.429</v>
      </c>
      <c r="D15" s="10"/>
    </row>
    <row r="16" customFormat="false" ht="15" hidden="false" customHeight="false" outlineLevel="0" collapsed="false">
      <c r="A16" s="10" t="s">
        <v>28</v>
      </c>
      <c r="B16" s="10" t="s">
        <v>380</v>
      </c>
      <c r="C16" s="10" t="n">
        <v>1.143</v>
      </c>
      <c r="D16" s="10"/>
    </row>
    <row r="17" customFormat="false" ht="15" hidden="false" customHeight="false" outlineLevel="0" collapsed="false">
      <c r="A17" s="10" t="s">
        <v>29</v>
      </c>
      <c r="B17" s="10" t="s">
        <v>381</v>
      </c>
      <c r="C17" s="10" t="n">
        <v>1</v>
      </c>
      <c r="D17" s="10" t="s">
        <v>382</v>
      </c>
    </row>
    <row r="20" customFormat="false" ht="15" hidden="false" customHeight="false" outlineLevel="0" collapsed="false">
      <c r="A20" s="3" t="s">
        <v>383</v>
      </c>
      <c r="B20" s="3"/>
      <c r="C20" s="3"/>
      <c r="D20" s="3"/>
    </row>
    <row r="21" customFormat="false" ht="15" hidden="false" customHeight="false" outlineLevel="0" collapsed="false">
      <c r="A21" s="7" t="s">
        <v>384</v>
      </c>
      <c r="B21" s="7" t="s">
        <v>385</v>
      </c>
      <c r="C21" s="7" t="s">
        <v>386</v>
      </c>
      <c r="D21" s="7" t="s">
        <v>22</v>
      </c>
    </row>
    <row r="22" customFormat="false" ht="15" hidden="false" customHeight="false" outlineLevel="0" collapsed="false">
      <c r="A22" s="10" t="s">
        <v>387</v>
      </c>
      <c r="B22" s="10" t="s">
        <v>388</v>
      </c>
      <c r="C22" s="10" t="s">
        <v>389</v>
      </c>
      <c r="D22" s="10"/>
    </row>
    <row r="23" customFormat="false" ht="15" hidden="false" customHeight="false" outlineLevel="0" collapsed="false">
      <c r="A23" s="10" t="s">
        <v>390</v>
      </c>
      <c r="B23" s="10" t="s">
        <v>391</v>
      </c>
      <c r="C23" s="10" t="s">
        <v>392</v>
      </c>
      <c r="D23" s="10"/>
    </row>
    <row r="24" customFormat="false" ht="15" hidden="false" customHeight="false" outlineLevel="0" collapsed="false">
      <c r="A24" s="10" t="s">
        <v>393</v>
      </c>
      <c r="B24" s="10" t="s">
        <v>394</v>
      </c>
      <c r="C24" s="10" t="s">
        <v>395</v>
      </c>
      <c r="D24" s="10"/>
    </row>
    <row r="25" customFormat="false" ht="15" hidden="false" customHeight="false" outlineLevel="0" collapsed="false">
      <c r="A25" s="10" t="s">
        <v>396</v>
      </c>
      <c r="B25" s="10" t="s">
        <v>397</v>
      </c>
      <c r="C25" s="10" t="s">
        <v>398</v>
      </c>
      <c r="D25" s="10"/>
    </row>
    <row r="26" customFormat="false" ht="15" hidden="false" customHeight="false" outlineLevel="0" collapsed="false">
      <c r="A26" s="10" t="s">
        <v>399</v>
      </c>
      <c r="B26" s="10" t="s">
        <v>400</v>
      </c>
      <c r="C26" s="10" t="s">
        <v>401</v>
      </c>
      <c r="D26" s="10"/>
    </row>
    <row r="27" customFormat="false" ht="15" hidden="false" customHeight="false" outlineLevel="0" collapsed="false">
      <c r="A27" s="10" t="s">
        <v>402</v>
      </c>
      <c r="B27" s="10" t="s">
        <v>403</v>
      </c>
      <c r="C27" s="10" t="s">
        <v>404</v>
      </c>
      <c r="D27" s="10"/>
    </row>
    <row r="28" customFormat="false" ht="15" hidden="false" customHeight="false" outlineLevel="0" collapsed="false">
      <c r="A28" s="10" t="s">
        <v>405</v>
      </c>
      <c r="B28" s="10" t="s">
        <v>406</v>
      </c>
      <c r="C28" s="10" t="s">
        <v>404</v>
      </c>
      <c r="D28" s="10"/>
    </row>
    <row r="29" customFormat="false" ht="15" hidden="false" customHeight="false" outlineLevel="0" collapsed="false">
      <c r="A29" s="10" t="s">
        <v>407</v>
      </c>
      <c r="B29" s="10" t="s">
        <v>403</v>
      </c>
      <c r="C29" s="10" t="s">
        <v>408</v>
      </c>
      <c r="D29" s="10"/>
    </row>
    <row r="30" customFormat="false" ht="15" hidden="false" customHeight="false" outlineLevel="0" collapsed="false">
      <c r="A30" s="10" t="s">
        <v>409</v>
      </c>
      <c r="B30" s="10" t="s">
        <v>410</v>
      </c>
      <c r="C30" s="10" t="s">
        <v>411</v>
      </c>
      <c r="D30" s="10"/>
    </row>
    <row r="31" customFormat="false" ht="15" hidden="false" customHeight="false" outlineLevel="0" collapsed="false">
      <c r="A31" s="10" t="s">
        <v>225</v>
      </c>
      <c r="B31" s="10" t="s">
        <v>412</v>
      </c>
      <c r="C31" s="10" t="s">
        <v>413</v>
      </c>
      <c r="D31" s="10"/>
    </row>
  </sheetData>
  <mergeCells count="3">
    <mergeCell ref="A1:G1"/>
    <mergeCell ref="A3:D3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2026-01-12T21:05:31Z</dcterms:created>
  <dc:creator>openpyxl</dc:creator>
  <dc:description/>
  <dc:language>en-US</dc:language>
  <cp:lastModifiedBy/>
  <dcterms:modified xsi:type="dcterms:W3CDTF">2026-01-12T21:05:31Z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