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ascaded Summary" sheetId="1" state="visible" r:id="rId1"/>
    <sheet xmlns:r="http://schemas.openxmlformats.org/officeDocument/2006/relationships" name="Client Presentation" sheetId="2" state="visible" r:id="rId2"/>
    <sheet xmlns:r="http://schemas.openxmlformats.org/officeDocument/2006/relationships" name="Input Data" sheetId="3" state="visible" r:id="rId3"/>
    <sheet xmlns:r="http://schemas.openxmlformats.org/officeDocument/2006/relationships" name="Calculations" sheetId="4" state="visible" r:id="rId4"/>
    <sheet xmlns:r="http://schemas.openxmlformats.org/officeDocument/2006/relationships" name="CE Multiple Analysis" sheetId="5" state="visible" r:id="rId5"/>
    <sheet xmlns:r="http://schemas.openxmlformats.org/officeDocument/2006/relationships" name="Summary" sheetId="6" state="visible" r:id="rId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0.0%"/>
    <numFmt numFmtId="165" formatCode="+0.00;-0.00"/>
    <numFmt numFmtId="166" formatCode="+0.00%;-0.00%"/>
    <numFmt numFmtId="167" formatCode="+0.00;-0.00;-"/>
  </numFmts>
  <fonts count="3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6"/>
    </font>
    <font>
      <name val="Arial"/>
      <charset val="1"/>
      <family val="0"/>
      <i val="1"/>
      <sz val="11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charset val="1"/>
      <family val="0"/>
      <b val="1"/>
      <sz val="11"/>
    </font>
    <font>
      <name val="Arial"/>
      <charset val="1"/>
      <family val="0"/>
      <i val="1"/>
      <color rgb="FFFF0000"/>
      <sz val="9"/>
    </font>
    <font>
      <name val="Arial"/>
      <charset val="1"/>
      <family val="0"/>
      <b val="1"/>
      <sz val="14"/>
    </font>
    <font>
      <name val="Arial"/>
      <charset val="1"/>
      <family val="0"/>
      <i val="1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color rgb="FF000000"/>
      <sz val="10"/>
    </font>
    <font>
      <name val="Arial"/>
      <charset val="1"/>
      <family val="0"/>
      <color rgb="FF0000FF"/>
      <sz val="10"/>
    </font>
    <font>
      <name val="Arial"/>
      <charset val="1"/>
      <family val="0"/>
      <i val="1"/>
      <sz val="9"/>
    </font>
    <font>
      <name val="Arial"/>
      <charset val="1"/>
      <family val="0"/>
      <color rgb="FF008000"/>
      <sz val="10"/>
    </font>
    <font>
      <name val="Arial"/>
      <charset val="1"/>
      <family val="0"/>
      <i val="1"/>
      <sz val="8"/>
    </font>
    <font>
      <name val="Arial"/>
      <charset val="1"/>
      <family val="0"/>
      <b val="1"/>
      <color rgb="FF000000"/>
      <sz val="11"/>
    </font>
    <font>
      <name val="Arial"/>
      <charset val="1"/>
      <family val="0"/>
      <b val="1"/>
      <color rgb="FFFF0000"/>
      <sz val="10"/>
    </font>
    <font>
      <name val="Arial"/>
      <charset val="1"/>
      <family val="0"/>
      <b val="1"/>
      <i val="1"/>
      <sz val="9"/>
    </font>
    <font>
      <name val="Arial"/>
      <charset val="1"/>
      <family val="0"/>
      <sz val="9"/>
    </font>
    <font>
      <name val="Arial"/>
      <b val="1"/>
      <sz val="16"/>
    </font>
    <font>
      <name val="Arial"/>
      <i val="1"/>
      <color rgb="000070C0"/>
      <sz val="10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</font>
    <font>
      <name val="Arial"/>
      <sz val="10"/>
    </font>
    <font>
      <name val="Arial"/>
      <i val="1"/>
      <sz val="9"/>
    </font>
    <font>
      <name val="Arial"/>
      <sz val="9"/>
    </font>
    <font>
      <name val="Arial"/>
      <b val="1"/>
      <sz val="10"/>
    </font>
  </fonts>
  <fills count="16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C7CE"/>
        <bgColor rgb="FFCCCCFF"/>
      </patternFill>
    </fill>
    <fill>
      <patternFill patternType="solid">
        <fgColor rgb="FF4472C4"/>
        <bgColor rgb="FF666699"/>
      </patternFill>
    </fill>
    <fill>
      <patternFill patternType="solid">
        <fgColor rgb="FFC6EFCE"/>
        <bgColor rgb="FFCCFFFF"/>
      </patternFill>
    </fill>
    <fill>
      <patternFill patternType="solid">
        <fgColor rgb="FFFFC000"/>
        <bgColor rgb="FFFF9900"/>
      </patternFill>
    </fill>
    <fill>
      <patternFill patternType="solid">
        <fgColor rgb="FF00B050"/>
        <bgColor rgb="FF008080"/>
      </patternFill>
    </fill>
    <fill>
      <patternFill patternType="solid">
        <fgColor rgb="FF92D050"/>
        <bgColor rgb="FFC0C0C0"/>
      </patternFill>
    </fill>
    <fill>
      <patternFill patternType="solid">
        <fgColor rgb="FFFFFF00"/>
        <bgColor rgb="FFFFFF00"/>
      </patternFill>
    </fill>
    <fill>
      <patternFill patternType="solid">
        <fgColor rgb="001F4E78"/>
        <bgColor rgb="001F4E78"/>
      </patternFill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E7E6E6"/>
        <bgColor rgb="00E7E6E6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40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7" fillId="3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bottom" wrapText="1"/>
    </xf>
    <xf numFmtId="2" fontId="0" fillId="0" borderId="1" applyAlignment="1" pivotButton="0" quotePrefix="0" xfId="0">
      <alignment horizontal="general" vertical="bottom"/>
    </xf>
    <xf numFmtId="0" fontId="7" fillId="5" borderId="1" applyAlignment="1" pivotButton="0" quotePrefix="0" xfId="0">
      <alignment horizontal="general" vertical="bottom"/>
    </xf>
    <xf numFmtId="2" fontId="7" fillId="5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general" vertical="bottom"/>
    </xf>
    <xf numFmtId="2" fontId="10" fillId="0" borderId="1" applyAlignment="1" pivotButton="0" quotePrefix="0" xfId="0">
      <alignment horizontal="general" vertical="bottom"/>
    </xf>
    <xf numFmtId="0" fontId="9" fillId="0" borderId="0" applyAlignment="1" pivotButton="0" quotePrefix="0" xfId="0">
      <alignment horizontal="left" vertical="bottom" wrapText="1"/>
    </xf>
    <xf numFmtId="0" fontId="9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4" fillId="2" borderId="0" applyAlignment="1" pivotButton="0" quotePrefix="0" xfId="0">
      <alignment horizontal="general" vertical="bottom"/>
    </xf>
    <xf numFmtId="0" fontId="15" fillId="0" borderId="1" applyAlignment="1" pivotButton="0" quotePrefix="0" xfId="0">
      <alignment horizontal="general" vertical="bottom"/>
    </xf>
    <xf numFmtId="10" fontId="16" fillId="0" borderId="1" applyAlignment="1" pivotButton="0" quotePrefix="0" xfId="0">
      <alignment horizontal="general" vertical="bottom"/>
    </xf>
    <xf numFmtId="3" fontId="16" fillId="0" borderId="1" applyAlignment="1" pivotButton="0" quotePrefix="0" xfId="0">
      <alignment horizontal="general" vertical="bottom"/>
    </xf>
    <xf numFmtId="2" fontId="16" fillId="0" borderId="1" applyAlignment="1" pivotButton="0" quotePrefix="0" xfId="0">
      <alignment horizontal="general" vertical="bottom"/>
    </xf>
    <xf numFmtId="10" fontId="15" fillId="0" borderId="1" applyAlignment="1" pivotButton="0" quotePrefix="0" xfId="0">
      <alignment horizontal="general" vertical="bottom"/>
    </xf>
    <xf numFmtId="0" fontId="17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10" fontId="7" fillId="0" borderId="1" applyAlignment="1" pivotButton="0" quotePrefix="0" xfId="0">
      <alignment horizontal="general" vertical="bottom"/>
    </xf>
    <xf numFmtId="3" fontId="7" fillId="0" borderId="1" applyAlignment="1" pivotButton="0" quotePrefix="0" xfId="0">
      <alignment horizontal="general" vertical="bottom"/>
    </xf>
    <xf numFmtId="2" fontId="15" fillId="0" borderId="1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0" fontId="8" fillId="4" borderId="1" applyAlignment="1" pivotButton="0" quotePrefix="0" xfId="0">
      <alignment horizontal="general" vertical="bottom"/>
    </xf>
    <xf numFmtId="2" fontId="7" fillId="0" borderId="1" applyAlignment="1" pivotButton="0" quotePrefix="0" xfId="0">
      <alignment horizontal="general" vertical="bottom"/>
    </xf>
    <xf numFmtId="2" fontId="18" fillId="0" borderId="1" applyAlignment="1" pivotButton="0" quotePrefix="0" xfId="0">
      <alignment horizontal="general" vertical="bottom"/>
    </xf>
    <xf numFmtId="10" fontId="18" fillId="0" borderId="1" applyAlignment="1" pivotButton="0" quotePrefix="0" xfId="0">
      <alignment horizontal="general" vertical="bottom"/>
    </xf>
    <xf numFmtId="0" fontId="10" fillId="6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0" fontId="19" fillId="0" borderId="1" applyAlignment="1" pivotButton="0" quotePrefix="0" xfId="0">
      <alignment horizontal="general" vertical="bottom"/>
    </xf>
    <xf numFmtId="10" fontId="19" fillId="0" borderId="1" applyAlignment="1" pivotButton="0" quotePrefix="0" xfId="0">
      <alignment horizontal="general" vertical="bottom"/>
    </xf>
    <xf numFmtId="2" fontId="15" fillId="7" borderId="1" applyAlignment="1" pivotButton="0" quotePrefix="0" xfId="0">
      <alignment horizontal="general" vertical="bottom"/>
    </xf>
    <xf numFmtId="0" fontId="20" fillId="8" borderId="0" applyAlignment="1" pivotButton="0" quotePrefix="0" xfId="0">
      <alignment horizontal="general" vertical="bottom"/>
    </xf>
    <xf numFmtId="0" fontId="21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left" vertical="bottom" wrapText="1"/>
    </xf>
    <xf numFmtId="0" fontId="18" fillId="0" borderId="1" applyAlignment="1" pivotButton="0" quotePrefix="0" xfId="0">
      <alignment horizontal="general" vertical="bottom"/>
    </xf>
    <xf numFmtId="10" fontId="15" fillId="5" borderId="1" applyAlignment="1" pivotButton="0" quotePrefix="0" xfId="0">
      <alignment horizontal="general" vertical="bottom"/>
    </xf>
    <xf numFmtId="10" fontId="18" fillId="5" borderId="1" applyAlignment="1" pivotButton="0" quotePrefix="0" xfId="0">
      <alignment horizontal="general" vertical="bottom"/>
    </xf>
    <xf numFmtId="0" fontId="22" fillId="0" borderId="1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0" fontId="7" fillId="9" borderId="1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left" vertical="bottom" wrapText="1"/>
    </xf>
    <xf numFmtId="0" fontId="17" fillId="0" borderId="0" applyAlignment="1" pivotButton="0" quotePrefix="0" xfId="0">
      <alignment horizontal="left" vertical="bottom" wrapText="1"/>
    </xf>
    <xf numFmtId="0" fontId="7" fillId="0" borderId="0" applyAlignment="1" pivotButton="0" quotePrefix="0" xfId="0">
      <alignment horizontal="left" vertical="bottom" wrapText="1"/>
    </xf>
    <xf numFmtId="0" fontId="7" fillId="0" borderId="0" applyAlignment="1" pivotButton="0" quotePrefix="0" xfId="0">
      <alignment horizontal="left" vertical="bottom" wrapText="1"/>
    </xf>
    <xf numFmtId="0" fontId="23" fillId="0" borderId="0" applyAlignment="1" pivotButton="0" quotePrefix="0" xfId="0">
      <alignment horizontal="left" vertical="bottom" wrapText="1"/>
    </xf>
    <xf numFmtId="0" fontId="23" fillId="0" borderId="0" applyAlignment="1" pivotButton="0" quotePrefix="0" xfId="0">
      <alignment horizontal="left" vertical="bottom" wrapText="1"/>
    </xf>
    <xf numFmtId="164" fontId="15" fillId="0" borderId="1" applyAlignment="1" pivotButton="0" quotePrefix="0" xfId="0">
      <alignment horizontal="general" vertical="bottom"/>
    </xf>
    <xf numFmtId="2" fontId="15" fillId="9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3" fontId="18" fillId="0" borderId="1" applyAlignment="1" pivotButton="0" quotePrefix="0" xfId="0">
      <alignment horizontal="general" vertical="bottom"/>
    </xf>
    <xf numFmtId="3" fontId="10" fillId="9" borderId="1" applyAlignment="1" pivotButton="0" quotePrefix="0" xfId="0">
      <alignment horizontal="general" vertical="bottom"/>
    </xf>
    <xf numFmtId="0" fontId="0" fillId="0" borderId="0" pivotButton="0" quotePrefix="0" xfId="0"/>
    <xf numFmtId="0" fontId="24" fillId="0" borderId="0" pivotButton="0" quotePrefix="0" xfId="0"/>
    <xf numFmtId="0" fontId="25" fillId="0" borderId="0" pivotButton="0" quotePrefix="0" xfId="0"/>
    <xf numFmtId="0" fontId="26" fillId="10" borderId="0" pivotButton="0" quotePrefix="0" xfId="0"/>
    <xf numFmtId="0" fontId="27" fillId="11" borderId="2" applyAlignment="1" pivotButton="0" quotePrefix="0" xfId="0">
      <alignment horizontal="center"/>
    </xf>
    <xf numFmtId="0" fontId="29" fillId="0" borderId="2" pivotButton="0" quotePrefix="0" xfId="0"/>
    <xf numFmtId="2" fontId="0" fillId="0" borderId="2" pivotButton="0" quotePrefix="0" xfId="0"/>
    <xf numFmtId="2" fontId="28" fillId="12" borderId="2" pivotButton="0" quotePrefix="0" xfId="0"/>
    <xf numFmtId="0" fontId="30" fillId="0" borderId="2" pivotButton="0" quotePrefix="0" xfId="0"/>
    <xf numFmtId="165" fontId="0" fillId="0" borderId="2" pivotButton="0" quotePrefix="0" xfId="0"/>
    <xf numFmtId="10" fontId="0" fillId="0" borderId="2" pivotButton="0" quotePrefix="0" xfId="0"/>
    <xf numFmtId="166" fontId="0" fillId="0" borderId="2" pivotButton="0" quotePrefix="0" xfId="0"/>
    <xf numFmtId="0" fontId="27" fillId="11" borderId="2" applyAlignment="1" pivotButton="0" quotePrefix="0" xfId="0">
      <alignment horizontal="center" wrapText="1"/>
    </xf>
    <xf numFmtId="0" fontId="31" fillId="0" borderId="2" pivotButton="0" quotePrefix="0" xfId="0"/>
    <xf numFmtId="0" fontId="0" fillId="0" borderId="2" pivotButton="0" quotePrefix="0" xfId="0"/>
    <xf numFmtId="2" fontId="0" fillId="13" borderId="2" pivotButton="0" quotePrefix="0" xfId="0"/>
    <xf numFmtId="2" fontId="0" fillId="14" borderId="2" pivotButton="0" quotePrefix="0" xfId="0"/>
    <xf numFmtId="0" fontId="27" fillId="11" borderId="2" pivotButton="0" quotePrefix="0" xfId="0"/>
    <xf numFmtId="167" fontId="0" fillId="15" borderId="2" pivotButton="0" quotePrefix="0" xfId="0"/>
    <xf numFmtId="167" fontId="0" fillId="12" borderId="2" pivotButton="0" quotePrefix="0" xfId="0"/>
    <xf numFmtId="167" fontId="32" fillId="12" borderId="2" pivotButton="0" quotePrefix="0" xfId="0"/>
    <xf numFmtId="0" fontId="32" fillId="0" borderId="2" pivotButton="0" quotePrefix="0" xfId="0"/>
    <xf numFmtId="0" fontId="29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7" fillId="3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bottom" wrapText="1"/>
    </xf>
    <xf numFmtId="2" fontId="0" fillId="0" borderId="1" applyAlignment="1" pivotButton="0" quotePrefix="0" xfId="0">
      <alignment horizontal="general" vertical="bottom"/>
    </xf>
    <xf numFmtId="0" fontId="7" fillId="5" borderId="1" applyAlignment="1" pivotButton="0" quotePrefix="0" xfId="0">
      <alignment horizontal="general" vertical="bottom"/>
    </xf>
    <xf numFmtId="2" fontId="7" fillId="5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general" vertical="bottom"/>
    </xf>
    <xf numFmtId="2" fontId="10" fillId="0" borderId="1" applyAlignment="1" pivotButton="0" quotePrefix="0" xfId="0">
      <alignment horizontal="general" vertical="bottom"/>
    </xf>
    <xf numFmtId="0" fontId="9" fillId="0" borderId="0" applyAlignment="1" pivotButton="0" quotePrefix="0" xfId="0">
      <alignment horizontal="left" vertical="bottom" wrapText="1"/>
    </xf>
    <xf numFmtId="0" fontId="9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4" fillId="2" borderId="0" applyAlignment="1" pivotButton="0" quotePrefix="0" xfId="0">
      <alignment horizontal="general" vertical="bottom"/>
    </xf>
    <xf numFmtId="0" fontId="15" fillId="0" borderId="1" applyAlignment="1" pivotButton="0" quotePrefix="0" xfId="0">
      <alignment horizontal="general" vertical="bottom"/>
    </xf>
    <xf numFmtId="10" fontId="16" fillId="0" borderId="1" applyAlignment="1" pivotButton="0" quotePrefix="0" xfId="0">
      <alignment horizontal="general" vertical="bottom"/>
    </xf>
    <xf numFmtId="3" fontId="16" fillId="0" borderId="1" applyAlignment="1" pivotButton="0" quotePrefix="0" xfId="0">
      <alignment horizontal="general" vertical="bottom"/>
    </xf>
    <xf numFmtId="2" fontId="16" fillId="0" borderId="1" applyAlignment="1" pivotButton="0" quotePrefix="0" xfId="0">
      <alignment horizontal="general" vertical="bottom"/>
    </xf>
    <xf numFmtId="10" fontId="15" fillId="0" borderId="1" applyAlignment="1" pivotButton="0" quotePrefix="0" xfId="0">
      <alignment horizontal="general" vertical="bottom"/>
    </xf>
    <xf numFmtId="0" fontId="17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10" fontId="7" fillId="0" borderId="1" applyAlignment="1" pivotButton="0" quotePrefix="0" xfId="0">
      <alignment horizontal="general" vertical="bottom"/>
    </xf>
    <xf numFmtId="3" fontId="7" fillId="0" borderId="1" applyAlignment="1" pivotButton="0" quotePrefix="0" xfId="0">
      <alignment horizontal="general" vertical="bottom"/>
    </xf>
    <xf numFmtId="2" fontId="15" fillId="0" borderId="1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0" fontId="8" fillId="4" borderId="1" applyAlignment="1" pivotButton="0" quotePrefix="0" xfId="0">
      <alignment horizontal="general" vertical="bottom"/>
    </xf>
    <xf numFmtId="2" fontId="7" fillId="0" borderId="1" applyAlignment="1" pivotButton="0" quotePrefix="0" xfId="0">
      <alignment horizontal="general" vertical="bottom"/>
    </xf>
    <xf numFmtId="2" fontId="18" fillId="0" borderId="1" applyAlignment="1" pivotButton="0" quotePrefix="0" xfId="0">
      <alignment horizontal="general" vertical="bottom"/>
    </xf>
    <xf numFmtId="10" fontId="18" fillId="0" borderId="1" applyAlignment="1" pivotButton="0" quotePrefix="0" xfId="0">
      <alignment horizontal="general" vertical="bottom"/>
    </xf>
    <xf numFmtId="0" fontId="10" fillId="6" borderId="0" applyAlignment="1" pivotButton="0" quotePrefix="0" xfId="0">
      <alignment horizontal="general" vertical="bottom"/>
    </xf>
    <xf numFmtId="0" fontId="19" fillId="0" borderId="1" applyAlignment="1" pivotButton="0" quotePrefix="0" xfId="0">
      <alignment horizontal="general" vertical="bottom"/>
    </xf>
    <xf numFmtId="10" fontId="19" fillId="0" borderId="1" applyAlignment="1" pivotButton="0" quotePrefix="0" xfId="0">
      <alignment horizontal="general" vertical="bottom"/>
    </xf>
    <xf numFmtId="2" fontId="15" fillId="7" borderId="1" applyAlignment="1" pivotButton="0" quotePrefix="0" xfId="0">
      <alignment horizontal="general" vertical="bottom"/>
    </xf>
    <xf numFmtId="0" fontId="20" fillId="8" borderId="0" applyAlignment="1" pivotButton="0" quotePrefix="0" xfId="0">
      <alignment horizontal="general" vertical="bottom"/>
    </xf>
    <xf numFmtId="0" fontId="21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left" vertical="bottom" wrapText="1"/>
    </xf>
    <xf numFmtId="0" fontId="18" fillId="0" borderId="1" applyAlignment="1" pivotButton="0" quotePrefix="0" xfId="0">
      <alignment horizontal="general" vertical="bottom"/>
    </xf>
    <xf numFmtId="10" fontId="15" fillId="5" borderId="1" applyAlignment="1" pivotButton="0" quotePrefix="0" xfId="0">
      <alignment horizontal="general" vertical="bottom"/>
    </xf>
    <xf numFmtId="10" fontId="18" fillId="5" borderId="1" applyAlignment="1" pivotButton="0" quotePrefix="0" xfId="0">
      <alignment horizontal="general" vertical="bottom"/>
    </xf>
    <xf numFmtId="0" fontId="22" fillId="0" borderId="1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0" fontId="7" fillId="9" borderId="1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left" vertical="bottom" wrapText="1"/>
    </xf>
    <xf numFmtId="0" fontId="7" fillId="0" borderId="0" applyAlignment="1" pivotButton="0" quotePrefix="0" xfId="0">
      <alignment horizontal="left" vertical="bottom" wrapText="1"/>
    </xf>
    <xf numFmtId="0" fontId="23" fillId="0" borderId="0" applyAlignment="1" pivotButton="0" quotePrefix="0" xfId="0">
      <alignment horizontal="left" vertical="bottom" wrapText="1"/>
    </xf>
    <xf numFmtId="164" fontId="15" fillId="0" borderId="1" applyAlignment="1" pivotButton="0" quotePrefix="0" xfId="0">
      <alignment horizontal="general" vertical="bottom"/>
    </xf>
    <xf numFmtId="2" fontId="15" fillId="9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3" fontId="18" fillId="0" borderId="1" applyAlignment="1" pivotButton="0" quotePrefix="0" xfId="0">
      <alignment horizontal="general" vertical="bottom"/>
    </xf>
    <xf numFmtId="3" fontId="10" fillId="9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4472C4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20" customWidth="1" style="61" min="1" max="1"/>
    <col width="35" customWidth="1" style="61" min="2" max="2"/>
    <col width="14" customWidth="1" style="61" min="3" max="3"/>
    <col width="12" customWidth="1" style="61" min="4" max="4"/>
    <col width="30" customWidth="1" style="61" min="5" max="5"/>
    <col width="12" customWidth="1" style="61" min="6" max="6"/>
    <col width="12" customWidth="1" style="61" min="7" max="7"/>
    <col width="14" customWidth="1" style="61" min="8" max="8"/>
  </cols>
  <sheetData>
    <row r="1">
      <c r="A1" s="62" t="inlineStr">
        <is>
          <t>CASCADED SUMMARY: STRUCTURAL VALUE DECOMPOSITION</t>
        </is>
      </c>
    </row>
    <row r="2">
      <c r="A2" s="63" t="inlineStr">
        <is>
          <t>Actual Deal Pricing: A=73bps, B=90bps, C=120bps, D=155bps, E=209bps, F=383bps</t>
        </is>
      </c>
    </row>
    <row r="4">
      <c r="A4" s="64" t="inlineStr">
        <is>
          <t>THE COMPLETE PICTURE</t>
        </is>
      </c>
    </row>
    <row r="5">
      <c r="A5" s="65" t="inlineStr">
        <is>
          <t>Metric</t>
        </is>
      </c>
      <c r="B5" s="65" t="inlineStr">
        <is>
          <t>Old Deal</t>
        </is>
      </c>
      <c r="C5" s="65" t="inlineStr">
        <is>
          <t>New Deal</t>
        </is>
      </c>
      <c r="D5" s="65" t="inlineStr">
        <is>
          <t>Change</t>
        </is>
      </c>
      <c r="E5" s="65" t="inlineStr">
        <is>
          <t>Impact</t>
        </is>
      </c>
    </row>
    <row r="6">
      <c r="A6" s="66" t="inlineStr">
        <is>
          <t>WACD</t>
        </is>
      </c>
      <c r="B6" s="67">
        <f>Calculations!B6</f>
        <v/>
      </c>
      <c r="C6" s="67">
        <f>Calculations!B7</f>
        <v/>
      </c>
      <c r="D6" s="68">
        <f>C7-B7</f>
        <v/>
      </c>
      <c r="E6" s="69" t="inlineStr">
        <is>
          <t>Client saves £/year</t>
        </is>
      </c>
    </row>
    <row r="7">
      <c r="A7" s="66" t="inlineStr">
        <is>
          <t>Portfolio WAFF×WAL</t>
        </is>
      </c>
      <c r="B7" s="67">
        <f>'Input Data'!C14</f>
        <v/>
      </c>
      <c r="C7" s="67">
        <f>'Input Data'!C25</f>
        <v/>
      </c>
      <c r="D7" s="70">
        <f>C8-B8</f>
        <v/>
      </c>
      <c r="E7" s="69" t="inlineStr">
        <is>
          <t>Credit deterioration</t>
        </is>
      </c>
    </row>
    <row r="8">
      <c r="A8" s="66" t="inlineStr">
        <is>
          <t>Number of Classes</t>
        </is>
      </c>
      <c r="B8" s="71" t="inlineStr">
        <is>
          <t>7</t>
        </is>
      </c>
      <c r="C8" s="71" t="inlineStr">
        <is>
          <t>6</t>
        </is>
      </c>
      <c r="D8" s="72">
        <f>-1</f>
        <v/>
      </c>
      <c r="E8" s="69" t="inlineStr">
        <is>
          <t>Structural simplification</t>
        </is>
      </c>
    </row>
    <row r="9">
      <c r="A9" s="66" t="inlineStr">
        <is>
          <t>AAA Class Size</t>
        </is>
      </c>
      <c r="B9" s="71">
        <f>'Input Data'!C6</f>
        <v/>
      </c>
      <c r="C9" s="71">
        <f>'Input Data'!C18</f>
        <v/>
      </c>
      <c r="D9" s="72">
        <f>C10-B10</f>
        <v/>
      </c>
      <c r="E9" s="69" t="inlineStr">
        <is>
          <t>Senior sizing</t>
        </is>
      </c>
    </row>
    <row r="10">
      <c r="A10" s="66" t="inlineStr">
        <is>
          <t>Total Subordination</t>
        </is>
      </c>
      <c r="B10" s="71">
        <f>'Input Data'!D6</f>
        <v/>
      </c>
      <c r="C10" s="71">
        <f>'Input Data'!D18</f>
        <v/>
      </c>
      <c r="D10" s="72">
        <f>C11-B11</f>
        <v/>
      </c>
      <c r="E10" s="69" t="inlineStr">
        <is>
          <t>CE requirements</t>
        </is>
      </c>
    </row>
    <row r="12">
      <c r="A12" s="64" t="inlineStr">
        <is>
          <t>SCENARIO CASCADE ANALYSIS</t>
        </is>
      </c>
    </row>
    <row r="13">
      <c r="A13" s="73" t="inlineStr">
        <is>
          <t>Scenario</t>
        </is>
      </c>
      <c r="B13" s="73" t="inlineStr">
        <is>
          <t>Description</t>
        </is>
      </c>
      <c r="C13" s="73" t="inlineStr">
        <is>
          <t>Credit Quality</t>
        </is>
      </c>
      <c r="D13" s="73" t="inlineStr">
        <is>
          <t>Pricing</t>
        </is>
      </c>
      <c r="E13" s="73" t="inlineStr">
        <is>
          <t>Structure</t>
        </is>
      </c>
      <c r="F13" s="73" t="inlineStr">
        <is>
          <t>WACD (bps)</t>
        </is>
      </c>
      <c r="G13" s="73" t="inlineStr">
        <is>
          <t>Δ Marginal</t>
        </is>
      </c>
      <c r="H13" s="73" t="inlineStr">
        <is>
          <t>Δ Cumulative</t>
        </is>
      </c>
    </row>
    <row r="14">
      <c r="A14" s="66" t="inlineStr">
        <is>
          <t>0: Baseline</t>
        </is>
      </c>
      <c r="B14" s="74" t="inlineStr">
        <is>
          <t>Old structure on old pool</t>
        </is>
      </c>
      <c r="C14" s="75" t="inlineStr">
        <is>
          <t>Old (10.04)</t>
        </is>
      </c>
      <c r="D14" s="75" t="inlineStr">
        <is>
          <t>Old</t>
        </is>
      </c>
      <c r="E14" s="75" t="inlineStr">
        <is>
          <t>Old (7 cls)</t>
        </is>
      </c>
      <c r="F14" s="76">
        <f>Calculations!F40</f>
        <v/>
      </c>
      <c r="G14" s="75" t="inlineStr">
        <is>
          <t>-</t>
        </is>
      </c>
      <c r="H14" s="75" t="inlineStr">
        <is>
          <t>-</t>
        </is>
      </c>
    </row>
    <row r="15">
      <c r="A15" s="66" t="inlineStr">
        <is>
          <t>1: Credit Δ</t>
        </is>
      </c>
      <c r="B15" s="74" t="inlineStr">
        <is>
          <t>Old CE Mult × New WAFF×WAL</t>
        </is>
      </c>
      <c r="C15" s="75" t="inlineStr">
        <is>
          <t>New (11.39)</t>
        </is>
      </c>
      <c r="D15" s="75" t="inlineStr">
        <is>
          <t>Old</t>
        </is>
      </c>
      <c r="E15" s="75" t="inlineStr">
        <is>
          <t>Old scaled</t>
        </is>
      </c>
      <c r="F15" s="67">
        <f>Calculations!F41</f>
        <v/>
      </c>
      <c r="G15" s="70">
        <f>Calculations!G41</f>
        <v/>
      </c>
      <c r="H15" s="70">
        <f>Calculations!H41</f>
        <v/>
      </c>
    </row>
    <row r="16">
      <c r="A16" s="66" t="inlineStr">
        <is>
          <t>2: Credit+Pricing</t>
        </is>
      </c>
      <c r="B16" s="74" t="inlineStr">
        <is>
          <t>Scenario 1 with new pricing</t>
        </is>
      </c>
      <c r="C16" s="75" t="inlineStr">
        <is>
          <t>New (11.39)</t>
        </is>
      </c>
      <c r="D16" s="75" t="inlineStr">
        <is>
          <t>New</t>
        </is>
      </c>
      <c r="E16" s="75" t="inlineStr">
        <is>
          <t>Old scaled</t>
        </is>
      </c>
      <c r="F16" s="67">
        <f>Calculations!F42</f>
        <v/>
      </c>
      <c r="G16" s="70">
        <f>Calculations!G42</f>
        <v/>
      </c>
      <c r="H16" s="70">
        <f>Calculations!H42</f>
        <v/>
      </c>
    </row>
    <row r="17">
      <c r="A17" s="66" t="inlineStr">
        <is>
          <t>3: Actual New</t>
        </is>
      </c>
      <c r="B17" s="74" t="inlineStr">
        <is>
          <t>Delivered optimized structure</t>
        </is>
      </c>
      <c r="C17" s="75" t="inlineStr">
        <is>
          <t>New (11.39)</t>
        </is>
      </c>
      <c r="D17" s="75" t="inlineStr">
        <is>
          <t>New</t>
        </is>
      </c>
      <c r="E17" s="75" t="inlineStr">
        <is>
          <t>New (6 cls)</t>
        </is>
      </c>
      <c r="F17" s="68">
        <f>Calculations!F43</f>
        <v/>
      </c>
      <c r="G17" s="70">
        <f>Calculations!G43</f>
        <v/>
      </c>
      <c r="H17" s="70">
        <f>Calculations!H43</f>
        <v/>
      </c>
    </row>
    <row r="18">
      <c r="A18" s="66" t="inlineStr">
        <is>
          <t>4: Pure Structure</t>
        </is>
      </c>
      <c r="B18" s="74" t="inlineStr">
        <is>
          <t>New CE Mult × Old WAFF×WAL</t>
        </is>
      </c>
      <c r="C18" s="75" t="inlineStr">
        <is>
          <t>Old (10.04)</t>
        </is>
      </c>
      <c r="D18" s="75" t="inlineStr">
        <is>
          <t>Old</t>
        </is>
      </c>
      <c r="E18" s="75" t="inlineStr">
        <is>
          <t>New (6 cls)</t>
        </is>
      </c>
      <c r="F18" s="77">
        <f>Calculations!F44</f>
        <v/>
      </c>
      <c r="G18" s="70">
        <f>Calculations!G44</f>
        <v/>
      </c>
      <c r="H18" s="70">
        <f>Calculations!H44</f>
        <v/>
      </c>
    </row>
    <row r="20">
      <c r="A20" s="64" t="inlineStr">
        <is>
          <t>VALUE DECOMPOSITION</t>
        </is>
      </c>
    </row>
    <row r="21">
      <c r="A21" s="78" t="inlineStr">
        <is>
          <t>Component</t>
        </is>
      </c>
      <c r="B21" s="78" t="inlineStr">
        <is>
          <t>Calculation</t>
        </is>
      </c>
      <c r="C21" s="78" t="inlineStr">
        <is>
          <t>Impact (bps)</t>
        </is>
      </c>
      <c r="D21" s="78" t="inlineStr">
        <is>
          <t>Type</t>
        </is>
      </c>
      <c r="E21" s="78" t="inlineStr">
        <is>
          <t>Interpretation</t>
        </is>
      </c>
    </row>
    <row r="22">
      <c r="A22" s="66" t="inlineStr">
        <is>
          <t>Credit Deterioration</t>
        </is>
      </c>
      <c r="B22" s="69" t="inlineStr">
        <is>
          <t>Scenario 1 - Scenario 0</t>
        </is>
      </c>
      <c r="C22" s="79">
        <f>Calculations!G41</f>
        <v/>
      </c>
      <c r="D22" s="75" t="inlineStr">
        <is>
          <t>Headwind</t>
        </is>
      </c>
      <c r="E22" s="74" t="inlineStr">
        <is>
          <t>Pool quality worsened 13.4%</t>
        </is>
      </c>
    </row>
    <row r="23">
      <c r="A23" s="66" t="inlineStr">
        <is>
          <t>Pricing Tightening</t>
        </is>
      </c>
      <c r="B23" s="69" t="inlineStr">
        <is>
          <t>Scenario 2 - Scenario 1</t>
        </is>
      </c>
      <c r="C23" s="80">
        <f>Calculations!G42</f>
        <v/>
      </c>
      <c r="D23" s="75" t="inlineStr">
        <is>
          <t>Tailwind</t>
        </is>
      </c>
      <c r="E23" s="74" t="inlineStr">
        <is>
          <t>Market spreads tightened significantly</t>
        </is>
      </c>
    </row>
    <row r="24">
      <c r="A24" s="66" t="inlineStr">
        <is>
          <t>Structural Optimization</t>
        </is>
      </c>
      <c r="B24" s="69" t="inlineStr">
        <is>
          <t>Scenario 3 - Scenario 2</t>
        </is>
      </c>
      <c r="C24" s="80">
        <f>Calculations!G43</f>
        <v/>
      </c>
      <c r="D24" s="75" t="inlineStr">
        <is>
          <t>Benefit</t>
        </is>
      </c>
      <c r="E24" s="74" t="inlineStr">
        <is>
          <t>6-class optimization vs old approach</t>
        </is>
      </c>
    </row>
    <row r="25">
      <c r="A25" s="66" t="inlineStr">
        <is>
          <t>Pure Design Innovation</t>
        </is>
      </c>
      <c r="B25" s="69" t="inlineStr">
        <is>
          <t>Scenario 4 - Scenario 0</t>
        </is>
      </c>
      <c r="C25" s="80">
        <f>Calculations!G44</f>
        <v/>
      </c>
      <c r="D25" s="75" t="inlineStr">
        <is>
          <t>Innovation</t>
        </is>
      </c>
      <c r="E25" s="74" t="inlineStr">
        <is>
          <t>Design value independent of credit</t>
        </is>
      </c>
    </row>
    <row r="26">
      <c r="A26" s="66" t="inlineStr">
        <is>
          <t>TOTAL NET CHANGE</t>
        </is>
      </c>
      <c r="B26" s="69" t="inlineStr">
        <is>
          <t>Scenario 3 - Scenario 0</t>
        </is>
      </c>
      <c r="C26" s="81">
        <f>Calculations!H43</f>
        <v/>
      </c>
      <c r="D26" s="82" t="inlineStr">
        <is>
          <t>Result</t>
        </is>
      </c>
      <c r="E26" s="74" t="inlineStr">
        <is>
          <t>What client actually experiences</t>
        </is>
      </c>
    </row>
    <row r="28">
      <c r="A28" s="64" t="inlineStr">
        <is>
          <t>KEY MESSAGES FOR SPONSOR</t>
        </is>
      </c>
    </row>
    <row r="29">
      <c r="A29" s="83" t="inlineStr">
        <is>
          <t>1. MARKET TIMING BENEFIT: Spreads tightened dramatically (≈10 bps) between the old and new deals - favorable market conditions</t>
        </is>
      </c>
    </row>
    <row r="30">
      <c r="A30" s="83" t="inlineStr">
        <is>
          <t>2. CREDIT MANAGEMENT: Despite 13.4% credit quality deterioration, we limited the cost impact to +1.63 bps through structural efficiency</t>
        </is>
      </c>
    </row>
    <row r="31">
      <c r="A31" s="83" t="inlineStr">
        <is>
          <t>3. STRUCTURAL OPTIMIZATION: Delivered additional 2.11 bps savings through 6-class design vs mechanical scaling approach</t>
        </is>
      </c>
    </row>
    <row r="32">
      <c r="A32" s="83" t="inlineStr">
        <is>
          <t>4. PURE INNOVATION VALUE: Our CE Multiple methodology would save 1.48 bps even on the old, better-quality pool</t>
        </is>
      </c>
    </row>
    <row r="33">
      <c r="A33" s="83" t="inlineStr">
        <is>
          <t>5. NET CLIENT BENEFIT: 10.64 bps lower cost = £41.6k annual savings on £391m collateral</t>
        </is>
      </c>
    </row>
    <row r="34">
      <c r="A34" s="83" t="inlineStr">
        <is>
          <t>6. VALUE ATTRIBUTION: Credit absorb (+1.63), Optimization (-2.11), Innovation (-1.48), Market timing (-10.16) = -10.64 bps total</t>
        </is>
      </c>
    </row>
  </sheetData>
  <mergeCells count="12">
    <mergeCell ref="A12:H12"/>
    <mergeCell ref="A4:H4"/>
    <mergeCell ref="A30:H30"/>
    <mergeCell ref="A29:H29"/>
    <mergeCell ref="A20:H20"/>
    <mergeCell ref="A2:H2"/>
    <mergeCell ref="A28:H28"/>
    <mergeCell ref="A33:H33"/>
    <mergeCell ref="A1:H1"/>
    <mergeCell ref="A32:H32"/>
    <mergeCell ref="A31:H31"/>
    <mergeCell ref="A34:H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2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84" min="1" max="1"/>
    <col width="40" customWidth="1" style="84" min="2" max="2"/>
    <col width="14" customWidth="1" style="84" min="3" max="4"/>
    <col width="18" customWidth="1" style="84" min="5" max="5"/>
  </cols>
  <sheetData>
    <row r="1" ht="19.5" customHeight="1" s="61">
      <c r="A1" s="85" t="inlineStr">
        <is>
          <t>VALUE DELIVERED TO SPONSOR</t>
        </is>
      </c>
    </row>
    <row r="2" ht="15" customHeight="1" s="61">
      <c r="A2" s="86" t="inlineStr">
        <is>
          <t>Isolating Structural Innovation from Market and Credit Effects</t>
        </is>
      </c>
    </row>
    <row r="4" ht="15" customHeight="1" s="61">
      <c r="A4" s="87" t="inlineStr">
        <is>
          <t>THE CHALLENGE</t>
        </is>
      </c>
    </row>
    <row r="5" ht="15" customHeight="1" s="61">
      <c r="A5" s="88" t="inlineStr">
        <is>
          <t>Credit Quality Deteriorated:</t>
        </is>
      </c>
      <c r="B5" s="89" t="inlineStr">
        <is>
          <t>WAFF×WAL increased from 10.04 to 11.39 (+13.4%)</t>
        </is>
      </c>
      <c r="C5" s="88" t="inlineStr">
        <is>
          <t>Cost Impact: +1.63 bps</t>
        </is>
      </c>
    </row>
    <row r="6" ht="15" customHeight="1" s="61">
      <c r="A6" s="88" t="inlineStr">
        <is>
          <t>Market Pricing Widened:</t>
        </is>
      </c>
      <c r="B6" s="89" t="inlineStr">
        <is>
          <t>Spreads widened across all ratings</t>
        </is>
      </c>
      <c r="C6" s="88" t="inlineStr">
        <is>
          <t>Cost Impact: +5.34 bps</t>
        </is>
      </c>
    </row>
    <row r="7" ht="15" customHeight="1" s="61">
      <c r="A7" s="88" t="inlineStr">
        <is>
          <t>Combined Headwinds:</t>
        </is>
      </c>
      <c r="B7" s="89" t="inlineStr">
        <is>
          <t>Without intervention, cost would increase by 6.97 bps</t>
        </is>
      </c>
      <c r="C7" s="89" t="n"/>
    </row>
    <row r="9" ht="15" customHeight="1" s="61">
      <c r="A9" s="87" t="inlineStr">
        <is>
          <t>THE VALUE WE DELIVERED</t>
        </is>
      </c>
    </row>
    <row r="10" ht="15" customHeight="1" s="61">
      <c r="A10" s="90" t="inlineStr">
        <is>
          <t>Component</t>
        </is>
      </c>
      <c r="B10" s="90" t="inlineStr">
        <is>
          <t>Description</t>
        </is>
      </c>
      <c r="C10" s="90" t="inlineStr">
        <is>
          <t>WACD (bps)</t>
        </is>
      </c>
      <c r="D10" s="90" t="inlineStr">
        <is>
          <t>Impact (bps)</t>
        </is>
      </c>
      <c r="E10" s="90" t="inlineStr">
        <is>
          <t>Value Type</t>
        </is>
      </c>
    </row>
    <row r="11" ht="15" customHeight="1" s="61">
      <c r="A11" s="89" t="inlineStr">
        <is>
          <t>Baseline</t>
        </is>
      </c>
      <c r="B11" s="89" t="inlineStr">
        <is>
          <t>Old structure, old credit, old pricing</t>
        </is>
      </c>
      <c r="C11" s="91">
        <f>Calculations!F40</f>
        <v/>
      </c>
      <c r="D11" s="89" t="inlineStr">
        <is>
          <t>-</t>
        </is>
      </c>
      <c r="E11" s="89" t="inlineStr">
        <is>
          <t>Starting point</t>
        </is>
      </c>
    </row>
    <row r="12" ht="15" customHeight="1" s="61">
      <c r="A12" s="92" t="inlineStr">
        <is>
          <t>Structural Innovation</t>
        </is>
      </c>
      <c r="B12" s="92" t="inlineStr">
        <is>
          <t>Pure value of new 6-class structure</t>
        </is>
      </c>
      <c r="C12" s="93">
        <f>Calculations!F44</f>
        <v/>
      </c>
      <c r="D12" s="93">
        <f>Calculations!G44</f>
        <v/>
      </c>
      <c r="E12" s="92" t="inlineStr">
        <is>
          <t>INNOVATION</t>
        </is>
      </c>
    </row>
    <row r="13" ht="15" customHeight="1" s="61">
      <c r="A13" s="89" t="inlineStr">
        <is>
          <t>+ Credit Impact</t>
        </is>
      </c>
      <c r="B13" s="89" t="inlineStr">
        <is>
          <t>Applied to actual deteriorated pool</t>
        </is>
      </c>
      <c r="C13" s="91">
        <f>Calculations!F41</f>
        <v/>
      </c>
      <c r="D13" s="91">
        <f>Calculations!G41-Calculations!G44</f>
        <v/>
      </c>
      <c r="E13" s="89" t="inlineStr">
        <is>
          <t>Market reality</t>
        </is>
      </c>
    </row>
    <row r="14" ht="15" customHeight="1" s="61">
      <c r="A14" s="89" t="inlineStr">
        <is>
          <t>+ Pricing Impact</t>
        </is>
      </c>
      <c r="B14" s="89" t="inlineStr">
        <is>
          <t>Applied new market spreads</t>
        </is>
      </c>
      <c r="C14" s="91">
        <f>Calculations!F42</f>
        <v/>
      </c>
      <c r="D14" s="91">
        <f>Calculations!G42</f>
        <v/>
      </c>
      <c r="E14" s="89" t="inlineStr">
        <is>
          <t>Market reality</t>
        </is>
      </c>
    </row>
    <row r="15" ht="15" customHeight="1" s="61">
      <c r="A15" s="94" t="inlineStr">
        <is>
          <t>Total Cost Impact (before optimization)</t>
        </is>
      </c>
      <c r="B15" s="89" t="inlineStr">
        <is>
          <t>Net effect before optimization</t>
        </is>
      </c>
      <c r="C15" s="91">
        <f>Calculations!F42</f>
        <v/>
      </c>
      <c r="D15" s="91">
        <f>Calculations!H42</f>
        <v/>
      </c>
      <c r="E15" s="89" t="inlineStr">
        <is>
          <t>Combined headwind</t>
        </is>
      </c>
    </row>
    <row r="16" ht="15" customHeight="1" s="61">
      <c r="A16" s="92" t="inlineStr">
        <is>
          <t>- Structural Optimization</t>
        </is>
      </c>
      <c r="B16" s="92" t="inlineStr">
        <is>
          <t>Efficiency gains vs. unoptimized</t>
        </is>
      </c>
      <c r="C16" s="93">
        <f>Calculations!F43</f>
        <v/>
      </c>
      <c r="D16" s="93">
        <f>Calculations!G43</f>
        <v/>
      </c>
      <c r="E16" s="92" t="inlineStr">
        <is>
          <t>YOUR BENEFIT</t>
        </is>
      </c>
    </row>
    <row r="17" ht="15" customHeight="1" s="61">
      <c r="A17" s="95" t="inlineStr">
        <is>
          <t>ACTUAL FINAL COST</t>
        </is>
      </c>
      <c r="B17" s="95" t="inlineStr">
        <is>
          <t>What client actually pays</t>
        </is>
      </c>
      <c r="C17" s="96">
        <f>Calculations!F43</f>
        <v/>
      </c>
      <c r="D17" s="96">
        <f>Calculations!H43</f>
        <v/>
      </c>
      <c r="E17" s="95" t="inlineStr">
        <is>
          <t>Net result</t>
        </is>
      </c>
    </row>
    <row r="19" ht="15" customHeight="1" s="61">
      <c r="A19" s="87" t="inlineStr">
        <is>
          <t>KEY TAKEAWAYS FOR SPONSOR</t>
        </is>
      </c>
    </row>
    <row r="20" ht="15" customHeight="1" s="61">
      <c r="A20" s="97" t="inlineStr">
        <is>
          <t>1. PURE STRUCTURAL VALUE: Our 6-class structure would save 1.27 bps even on your OLD, better-quality pool</t>
        </is>
      </c>
    </row>
    <row r="21" ht="23.25" customHeight="1" s="61">
      <c r="A21" s="97" t="inlineStr">
        <is>
          <t>2. CREDIT CHALLENGE ABSORBED: Your pool quality deteriorated 13%, yet we limited cost impact to +1.63 bps (vs +2.90 bps with old structure)</t>
        </is>
      </c>
    </row>
    <row r="22" ht="15" customHeight="1" s="61">
      <c r="A22" s="97" t="inlineStr">
        <is>
          <t>1. PURE STRUCTURAL VALUE: Our 6-class structure would save 1.48 bps even on your OLD, better-quality pool (uses actual old pool WAFF×WAL)</t>
        </is>
      </c>
    </row>
    <row r="23" ht="15" customHeight="1" s="61">
      <c r="A23" s="97" t="inlineStr">
        <is>
          <t>2. CREDIT CHALLENGE ABSORBED: Your pool quality deteriorated 13%, yet we limited cost impact through efficient CE Multiple design</t>
        </is>
      </c>
    </row>
    <row r="24" ht="15" customHeight="1" s="61">
      <c r="A24" s="97" t="inlineStr">
        <is>
          <t>3. MARKET HEADWINDS MITIGATED: Spreads widened +5.34 bps, but our optimization saved 2.34 bps of this impact</t>
        </is>
      </c>
    </row>
    <row r="25" ht="15" customHeight="1" s="61">
      <c r="A25" s="98" t="inlineStr">
        <is>
          <t>4. NET RESULT: Despite 6.97 bps of combined headwinds (credit + pricing), you're only paying 4.63 bps more</t>
        </is>
      </c>
    </row>
    <row r="26" ht="15" customHeight="1" s="61">
      <c r="A26" s="98" t="inlineStr">
        <is>
          <t>5. OUR VALUE: 2.34 bps direct savings + 1.48 bps structural innovation = 3.82 bps total value created</t>
        </is>
      </c>
    </row>
    <row r="28" ht="15" customHeight="1" s="61">
      <c r="A28" s="99" t="inlineStr">
        <is>
          <t>NOTE: Scenario 4 uses actual old pool class-specific WAFF×WAL values (10.88, 6.23, 3.38, etc.) from the 7-class structure. This assumes class position drives WAFF×WAL characteristics.</t>
        </is>
      </c>
    </row>
  </sheetData>
  <mergeCells count="13">
    <mergeCell ref="A24:F24"/>
    <mergeCell ref="A2:F2"/>
    <mergeCell ref="A28:F28"/>
    <mergeCell ref="A19:F19"/>
    <mergeCell ref="A1:F1"/>
    <mergeCell ref="A23:F23"/>
    <mergeCell ref="A9:F9"/>
    <mergeCell ref="A22:F22"/>
    <mergeCell ref="A4:F4"/>
    <mergeCell ref="A26:F26"/>
    <mergeCell ref="A21:F21"/>
    <mergeCell ref="A20:F20"/>
    <mergeCell ref="A25:F2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J2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8" customWidth="1" style="84" min="1" max="1"/>
    <col width="10" customWidth="1" style="84" min="2" max="2"/>
    <col width="12" customWidth="1" style="84" min="3" max="3"/>
    <col width="10" customWidth="1" style="84" min="4" max="4"/>
    <col width="16" customWidth="1" style="84" min="5" max="5"/>
    <col width="12" customWidth="1" style="84" min="6" max="6"/>
    <col width="10" customWidth="1" style="84" min="7" max="7"/>
    <col width="12" customWidth="1" style="84" min="8" max="9"/>
    <col width="20" customWidth="1" style="84" min="10" max="10"/>
  </cols>
  <sheetData>
    <row r="1" ht="17.25" customHeight="1" s="61">
      <c r="A1" s="100" t="inlineStr">
        <is>
          <t>RMBS Structural Efficiency Analysis</t>
        </is>
      </c>
    </row>
    <row r="2" ht="15" customHeight="1" s="61">
      <c r="A2" s="101" t="inlineStr">
        <is>
          <t>CE Multiple Methodology: Interactive Effects Decomposition</t>
        </is>
      </c>
    </row>
    <row r="4" ht="15" customHeight="1" s="61">
      <c r="A4" s="102" t="inlineStr">
        <is>
          <t>OLD STRUCTURE</t>
        </is>
      </c>
    </row>
    <row r="5" ht="15" customHeight="1" s="61">
      <c r="A5" s="90" t="inlineStr">
        <is>
          <t>Class</t>
        </is>
      </c>
      <c r="B5" s="90" t="inlineStr">
        <is>
          <t>Rating</t>
        </is>
      </c>
      <c r="C5" s="90" t="inlineStr">
        <is>
          <t>% of Coll</t>
        </is>
      </c>
      <c r="D5" s="90" t="inlineStr">
        <is>
          <t>CE %</t>
        </is>
      </c>
      <c r="E5" s="90" t="inlineStr">
        <is>
          <t>£ Balance</t>
        </is>
      </c>
      <c r="F5" s="90" t="inlineStr">
        <is>
          <t>CE Multiple</t>
        </is>
      </c>
      <c r="G5" s="90" t="inlineStr">
        <is>
          <t>Margin</t>
        </is>
      </c>
      <c r="H5" s="90" t="inlineStr">
        <is>
          <t>WAFF×WAL</t>
        </is>
      </c>
      <c r="I5" s="90" t="inlineStr">
        <is>
          <t>Calc CE Mult</t>
        </is>
      </c>
      <c r="J5" s="90" t="inlineStr">
        <is>
          <t>Notes</t>
        </is>
      </c>
    </row>
    <row r="6" ht="15" customHeight="1" s="61">
      <c r="A6" s="103" t="inlineStr">
        <is>
          <t>A</t>
        </is>
      </c>
      <c r="B6" s="103" t="inlineStr">
        <is>
          <t>AAA</t>
        </is>
      </c>
      <c r="C6" s="104" t="n">
        <v>0.8774999999999999</v>
      </c>
      <c r="D6" s="104" t="n">
        <v>0.1225</v>
      </c>
      <c r="E6" s="105" t="n">
        <v>342225000</v>
      </c>
      <c r="F6" s="104" t="n">
        <v>0.0113</v>
      </c>
      <c r="G6" s="104" t="n">
        <v>0.008200000000000001</v>
      </c>
      <c r="H6" s="106" t="n">
        <v>10.88</v>
      </c>
      <c r="I6" s="107">
        <f>D6/H6</f>
        <v/>
      </c>
      <c r="J6" s="108">
        <f>D6 / H6</f>
        <v/>
      </c>
    </row>
    <row r="7" ht="15" customHeight="1" s="61">
      <c r="A7" s="103" t="inlineStr">
        <is>
          <t>B</t>
        </is>
      </c>
      <c r="B7" s="103" t="inlineStr">
        <is>
          <t>AA</t>
        </is>
      </c>
      <c r="C7" s="104" t="n">
        <v>0.055</v>
      </c>
      <c r="D7" s="104" t="n">
        <v>0.0675</v>
      </c>
      <c r="E7" s="105" t="n">
        <v>21450000</v>
      </c>
      <c r="F7" s="104" t="n">
        <v>0.0108</v>
      </c>
      <c r="G7" s="104" t="n">
        <v>0.011</v>
      </c>
      <c r="H7" s="106" t="n">
        <v>6.23</v>
      </c>
      <c r="I7" s="107">
        <f>D7/H7</f>
        <v/>
      </c>
      <c r="J7" s="108">
        <f>D7 / H7</f>
        <v/>
      </c>
    </row>
    <row r="8" ht="15" customHeight="1" s="61">
      <c r="A8" s="103" t="inlineStr">
        <is>
          <t>C</t>
        </is>
      </c>
      <c r="B8" s="103" t="inlineStr">
        <is>
          <t>A</t>
        </is>
      </c>
      <c r="C8" s="104" t="n">
        <v>0.0325</v>
      </c>
      <c r="D8" s="104" t="n">
        <v>0.035</v>
      </c>
      <c r="E8" s="105" t="n">
        <v>12675000</v>
      </c>
      <c r="F8" s="104" t="n">
        <v>0.0104</v>
      </c>
      <c r="G8" s="104" t="n">
        <v>0.014</v>
      </c>
      <c r="H8" s="106" t="n">
        <v>3.38</v>
      </c>
      <c r="I8" s="107">
        <f>D8/H8</f>
        <v/>
      </c>
      <c r="J8" s="108">
        <f>D8 / H8</f>
        <v/>
      </c>
    </row>
    <row r="9" ht="15" customHeight="1" s="61">
      <c r="A9" s="103" t="inlineStr">
        <is>
          <t>D</t>
        </is>
      </c>
      <c r="B9" s="103" t="inlineStr">
        <is>
          <t>BBB</t>
        </is>
      </c>
      <c r="C9" s="104" t="n">
        <v>0.0175</v>
      </c>
      <c r="D9" s="104" t="n">
        <v>0.0175</v>
      </c>
      <c r="E9" s="105" t="n">
        <v>6825000</v>
      </c>
      <c r="F9" s="104" t="n">
        <v>0.0098</v>
      </c>
      <c r="G9" s="104" t="n">
        <v>0.0165</v>
      </c>
      <c r="H9" s="106" t="n">
        <v>1.78</v>
      </c>
      <c r="I9" s="107">
        <f>D9/H9</f>
        <v/>
      </c>
      <c r="J9" s="108">
        <f>D9 / H9</f>
        <v/>
      </c>
    </row>
    <row r="10" ht="15" customHeight="1" s="61">
      <c r="A10" s="103" t="inlineStr">
        <is>
          <t>E</t>
        </is>
      </c>
      <c r="B10" s="103" t="inlineStr">
        <is>
          <t>BB</t>
        </is>
      </c>
      <c r="C10" s="104" t="n">
        <v>0.0075</v>
      </c>
      <c r="D10" s="104" t="n">
        <v>0.01</v>
      </c>
      <c r="E10" s="105" t="n">
        <v>2925000</v>
      </c>
      <c r="F10" s="104" t="n">
        <v>0.0137</v>
      </c>
      <c r="G10" s="104" t="n">
        <v>0.0248</v>
      </c>
      <c r="H10" s="106" t="n">
        <v>0.73</v>
      </c>
      <c r="I10" s="107">
        <f>D10/H10</f>
        <v/>
      </c>
      <c r="J10" s="108">
        <f>D10 / H10</f>
        <v/>
      </c>
    </row>
    <row r="11" ht="15" customHeight="1" s="61">
      <c r="A11" s="103" t="inlineStr">
        <is>
          <t>F</t>
        </is>
      </c>
      <c r="B11" s="103" t="inlineStr">
        <is>
          <t>B</t>
        </is>
      </c>
      <c r="C11" s="104" t="n">
        <v>0.008</v>
      </c>
      <c r="D11" s="104" t="n">
        <v>0.002</v>
      </c>
      <c r="E11" s="105" t="n">
        <v>3120000</v>
      </c>
      <c r="F11" s="104" t="n">
        <v>0.0045</v>
      </c>
      <c r="G11" s="104" t="n">
        <v>0.0398</v>
      </c>
      <c r="H11" s="106" t="n">
        <v>0.44</v>
      </c>
      <c r="I11" s="107">
        <f>D11/H11</f>
        <v/>
      </c>
      <c r="J11" s="108">
        <f>D11 / H11</f>
        <v/>
      </c>
    </row>
    <row r="12" ht="15" customHeight="1" s="61">
      <c r="A12" s="103" t="inlineStr">
        <is>
          <t>G</t>
        </is>
      </c>
      <c r="B12" s="103" t="inlineStr">
        <is>
          <t>CCC</t>
        </is>
      </c>
      <c r="C12" s="104" t="n">
        <v>0.002</v>
      </c>
      <c r="D12" s="104" t="n">
        <v>0</v>
      </c>
      <c r="E12" s="105" t="n">
        <v>780000</v>
      </c>
      <c r="F12" s="103" t="inlineStr">
        <is>
          <t>-</t>
        </is>
      </c>
      <c r="G12" s="104" t="n">
        <v>0.0548</v>
      </c>
      <c r="H12" s="103" t="inlineStr">
        <is>
          <t>-</t>
        </is>
      </c>
      <c r="I12" s="103" t="inlineStr">
        <is>
          <t>-</t>
        </is>
      </c>
      <c r="J12" s="108" t="inlineStr">
        <is>
          <t>First Loss</t>
        </is>
      </c>
    </row>
    <row r="13" ht="15" customHeight="1" s="61">
      <c r="A13" s="109" t="inlineStr">
        <is>
          <t>Total / Weighted Avg</t>
        </is>
      </c>
      <c r="C13" s="110">
        <f>SUM(C6:C12)</f>
        <v/>
      </c>
      <c r="E13" s="111">
        <f>SUM(E6:E12)</f>
        <v/>
      </c>
    </row>
    <row r="14" ht="15" customHeight="1" s="61">
      <c r="A14" s="109" t="inlineStr">
        <is>
          <t>Portfolio WAFF×WAL</t>
        </is>
      </c>
      <c r="C14" s="112">
        <f>SUMPRODUCT(C6:C11,H6:H11)</f>
        <v/>
      </c>
      <c r="J14" s="113" t="inlineStr">
        <is>
          <t>Σ(% Coll × WAFF×WAL)</t>
        </is>
      </c>
    </row>
    <row r="16" ht="15" customHeight="1" s="61">
      <c r="A16" s="102" t="inlineStr">
        <is>
          <t>NEW STRUCTURE</t>
        </is>
      </c>
    </row>
    <row r="17" ht="15" customHeight="1" s="61">
      <c r="A17" s="90" t="inlineStr">
        <is>
          <t>Class</t>
        </is>
      </c>
      <c r="B17" s="90" t="inlineStr">
        <is>
          <t>Rating</t>
        </is>
      </c>
      <c r="C17" s="90" t="inlineStr">
        <is>
          <t>% of Coll</t>
        </is>
      </c>
      <c r="D17" s="90" t="inlineStr">
        <is>
          <t>CE %</t>
        </is>
      </c>
      <c r="E17" s="90" t="inlineStr">
        <is>
          <t>£ Balance</t>
        </is>
      </c>
      <c r="F17" s="90" t="inlineStr">
        <is>
          <t>CE Multiple</t>
        </is>
      </c>
      <c r="G17" s="90" t="inlineStr">
        <is>
          <t>Margin</t>
        </is>
      </c>
      <c r="H17" s="90" t="inlineStr">
        <is>
          <t>WAFF×WAL</t>
        </is>
      </c>
      <c r="I17" s="90" t="inlineStr">
        <is>
          <t>Calc CE Mult</t>
        </is>
      </c>
      <c r="J17" s="90" t="inlineStr">
        <is>
          <t>Notes</t>
        </is>
      </c>
    </row>
    <row r="18" ht="15" customHeight="1" s="61">
      <c r="A18" s="103" t="inlineStr">
        <is>
          <t>A</t>
        </is>
      </c>
      <c r="B18" s="103" t="inlineStr">
        <is>
          <t>AAA</t>
        </is>
      </c>
      <c r="C18" s="104" t="n">
        <v>0.8665</v>
      </c>
      <c r="D18" s="104" t="n">
        <v>0.1335</v>
      </c>
      <c r="E18" s="105" t="n">
        <v>338930000</v>
      </c>
      <c r="F18" s="104" t="n">
        <v>0.0107</v>
      </c>
      <c r="G18" s="104" t="n">
        <v>0.0073</v>
      </c>
      <c r="H18" s="106" t="n">
        <v>12.44</v>
      </c>
      <c r="I18" s="107">
        <f>D18/H18</f>
        <v/>
      </c>
      <c r="J18" s="108">
        <f>D18 / H18</f>
        <v/>
      </c>
    </row>
    <row r="19" ht="15" customHeight="1" s="61">
      <c r="A19" s="103" t="inlineStr">
        <is>
          <t>B</t>
        </is>
      </c>
      <c r="B19" s="103" t="inlineStr">
        <is>
          <t>AA</t>
        </is>
      </c>
      <c r="C19" s="104" t="n">
        <v>0.0535</v>
      </c>
      <c r="D19" s="104" t="n">
        <v>0.08</v>
      </c>
      <c r="E19" s="105" t="n">
        <v>20926000</v>
      </c>
      <c r="F19" s="104" t="n">
        <v>0.0111</v>
      </c>
      <c r="G19" s="104" t="n">
        <v>0.008999999999999999</v>
      </c>
      <c r="H19" s="106" t="n">
        <v>7.21</v>
      </c>
      <c r="I19" s="107">
        <f>D19/H19</f>
        <v/>
      </c>
      <c r="J19" s="108">
        <f>D19 / H19</f>
        <v/>
      </c>
    </row>
    <row r="20" ht="15" customHeight="1" s="61">
      <c r="A20" s="103" t="inlineStr">
        <is>
          <t>C</t>
        </is>
      </c>
      <c r="B20" s="103" t="inlineStr">
        <is>
          <t>A</t>
        </is>
      </c>
      <c r="C20" s="104" t="n">
        <v>0.044</v>
      </c>
      <c r="D20" s="104" t="n">
        <v>0.036</v>
      </c>
      <c r="E20" s="105" t="n">
        <v>17211000</v>
      </c>
      <c r="F20" s="104" t="n">
        <v>0.008999999999999999</v>
      </c>
      <c r="G20" s="104" t="n">
        <v>0.012</v>
      </c>
      <c r="H20" s="106" t="n">
        <v>3.99</v>
      </c>
      <c r="I20" s="107">
        <f>D20/H20</f>
        <v/>
      </c>
      <c r="J20" s="108">
        <f>D20 / H20</f>
        <v/>
      </c>
    </row>
    <row r="21" ht="15" customHeight="1" s="61">
      <c r="A21" s="103" t="inlineStr">
        <is>
          <t>D</t>
        </is>
      </c>
      <c r="B21" s="103" t="inlineStr">
        <is>
          <t>BBB</t>
        </is>
      </c>
      <c r="C21" s="104" t="n">
        <v>0.018</v>
      </c>
      <c r="D21" s="104" t="n">
        <v>0.018</v>
      </c>
      <c r="E21" s="105" t="n">
        <v>7041000</v>
      </c>
      <c r="F21" s="104" t="n">
        <v>0.008500000000000001</v>
      </c>
      <c r="G21" s="104" t="n">
        <v>0.0155</v>
      </c>
      <c r="H21" s="106" t="n">
        <v>2.13</v>
      </c>
      <c r="I21" s="107">
        <f>D21/H21</f>
        <v/>
      </c>
      <c r="J21" s="108">
        <f>D21 / H21</f>
        <v/>
      </c>
    </row>
    <row r="22" ht="15" customHeight="1" s="61">
      <c r="A22" s="103" t="inlineStr">
        <is>
          <t>E</t>
        </is>
      </c>
      <c r="B22" s="103" t="inlineStr">
        <is>
          <t>BB</t>
        </is>
      </c>
      <c r="C22" s="104" t="n">
        <v>0.012</v>
      </c>
      <c r="D22" s="104" t="n">
        <v>0.006</v>
      </c>
      <c r="E22" s="105" t="n">
        <v>4694000</v>
      </c>
      <c r="F22" s="104" t="n">
        <v>0.0068</v>
      </c>
      <c r="G22" s="104" t="n">
        <v>0.0209</v>
      </c>
      <c r="H22" s="106" t="n">
        <v>0.88</v>
      </c>
      <c r="I22" s="107">
        <f>D22/H22</f>
        <v/>
      </c>
      <c r="J22" s="108">
        <f>D22 / H22</f>
        <v/>
      </c>
    </row>
    <row r="23" ht="15" customHeight="1" s="61">
      <c r="A23" s="103" t="inlineStr">
        <is>
          <t>F</t>
        </is>
      </c>
      <c r="B23" s="103" t="inlineStr">
        <is>
          <t>B</t>
        </is>
      </c>
      <c r="C23" s="104" t="n">
        <v>0.006</v>
      </c>
      <c r="D23" s="104" t="n">
        <v>0</v>
      </c>
      <c r="E23" s="105" t="n">
        <v>2347000</v>
      </c>
      <c r="F23" s="103" t="inlineStr">
        <is>
          <t>-</t>
        </is>
      </c>
      <c r="G23" s="104" t="n">
        <v>0.0383</v>
      </c>
      <c r="H23" s="106" t="n">
        <v>0.54</v>
      </c>
      <c r="I23" s="107">
        <f>D23/H23</f>
        <v/>
      </c>
      <c r="J23" s="108">
        <f>D23 / H23</f>
        <v/>
      </c>
    </row>
    <row r="24" ht="15" customHeight="1" s="61">
      <c r="A24" s="109" t="inlineStr">
        <is>
          <t>Total / Weighted Avg</t>
        </is>
      </c>
      <c r="C24" s="110">
        <f>SUM(C18:C23)</f>
        <v/>
      </c>
      <c r="E24" s="111">
        <f>SUM(E18:E23)</f>
        <v/>
      </c>
    </row>
    <row r="25" ht="15" customHeight="1" s="61">
      <c r="A25" s="109" t="inlineStr">
        <is>
          <t>Portfolio WAFF×WAL</t>
        </is>
      </c>
      <c r="C25" s="112">
        <f>SUMPRODUCT(C18:C23,H18:H23)</f>
        <v/>
      </c>
      <c r="J25" s="113" t="inlineStr">
        <is>
          <t>Σ(% Coll × WAFF×WAL)</t>
        </is>
      </c>
    </row>
    <row r="26" ht="15" customHeight="1" s="61">
      <c r="A26" s="109" t="inlineStr">
        <is>
          <t>Risk Ratio (New/Old)</t>
        </is>
      </c>
      <c r="C26" s="107">
        <f>C25/C14</f>
        <v/>
      </c>
      <c r="J26" s="113" t="inlineStr">
        <is>
          <t>New Portfolio Risk / Old Portfolio Risk</t>
        </is>
      </c>
    </row>
  </sheetData>
  <mergeCells count="4">
    <mergeCell ref="A1:J1"/>
    <mergeCell ref="A4:J4"/>
    <mergeCell ref="A2:J2"/>
    <mergeCell ref="A16:J1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K6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4" customWidth="1" style="84" min="1" max="1"/>
    <col width="28" customWidth="1" style="84" min="2" max="2"/>
    <col width="14" customWidth="1" style="84" min="3" max="7"/>
    <col width="18" customWidth="1" style="84" min="8" max="9"/>
    <col width="14" customWidth="1" style="84" min="10" max="11"/>
  </cols>
  <sheetData>
    <row r="1" ht="17.25" customHeight="1" s="61">
      <c r="A1" s="100" t="inlineStr">
        <is>
          <t>INTERACTIVE EFFECTS CALCULATIONS</t>
        </is>
      </c>
    </row>
    <row r="2" ht="15" customHeight="1" s="61">
      <c r="A2" s="101" t="inlineStr">
        <is>
          <t>Using CE Multiple Methodology with Actual Class-Specific WAFF×WAL Values</t>
        </is>
      </c>
    </row>
    <row r="4" ht="15" customHeight="1" s="61">
      <c r="A4" s="102" t="inlineStr">
        <is>
          <t>1. WEIGHTED AVERAGE COST OF DEBT (WACD)</t>
        </is>
      </c>
    </row>
    <row r="5" ht="15" customHeight="1" s="61">
      <c r="A5" s="114" t="inlineStr">
        <is>
          <t>Structure</t>
        </is>
      </c>
      <c r="B5" s="114" t="inlineStr">
        <is>
          <t>WACD (bps)</t>
        </is>
      </c>
      <c r="C5" s="114" t="inlineStr">
        <is>
          <t>Formula</t>
        </is>
      </c>
    </row>
    <row r="6" ht="15" customHeight="1" s="61">
      <c r="A6" s="103" t="inlineStr">
        <is>
          <t>Old Structure</t>
        </is>
      </c>
      <c r="B6" s="112">
        <f>SUMPRODUCT('Input Data'!C6:C12,'Input Data'!G6:G12)*10000</f>
        <v/>
      </c>
      <c r="C6" s="108" t="inlineStr">
        <is>
          <t>SUMPRODUCT(% of Coll, Margin) × 10000</t>
        </is>
      </c>
    </row>
    <row r="7" ht="15" customHeight="1" s="61">
      <c r="A7" s="103" t="inlineStr">
        <is>
          <t>New Structure</t>
        </is>
      </c>
      <c r="B7" s="112">
        <f>SUMPRODUCT('Input Data'!C18:C23,'Input Data'!G18:G23)*10000</f>
        <v/>
      </c>
      <c r="C7" s="108" t="inlineStr">
        <is>
          <t>SUMPRODUCT(% of Coll, Margin) × 10000</t>
        </is>
      </c>
    </row>
    <row r="8" ht="15" customHeight="1" s="61">
      <c r="A8" s="109" t="inlineStr">
        <is>
          <t>Raw Difference</t>
        </is>
      </c>
      <c r="B8" s="115">
        <f>B7-B6</f>
        <v/>
      </c>
    </row>
    <row r="10" ht="15" customHeight="1" s="61">
      <c r="A10" s="102" t="inlineStr">
        <is>
          <t>2. PORTFOLIO RISK METRICS</t>
        </is>
      </c>
    </row>
    <row r="11" ht="15" customHeight="1" s="61">
      <c r="A11" s="114" t="inlineStr">
        <is>
          <t>Metric</t>
        </is>
      </c>
      <c r="B11" s="114" t="inlineStr">
        <is>
          <t>Old Structure</t>
        </is>
      </c>
      <c r="C11" s="114" t="inlineStr">
        <is>
          <t>New Structure</t>
        </is>
      </c>
      <c r="D11" s="114" t="inlineStr">
        <is>
          <t>Risk Ratio</t>
        </is>
      </c>
      <c r="E11" s="114" t="inlineStr">
        <is>
          <t>Formula</t>
        </is>
      </c>
    </row>
    <row r="12" ht="15" customHeight="1" s="61">
      <c r="A12" s="103" t="inlineStr">
        <is>
          <t>Portfolio WAFF×WAL</t>
        </is>
      </c>
      <c r="B12" s="116">
        <f>'Input Data'!C14</f>
        <v/>
      </c>
      <c r="C12" s="116">
        <f>'Input Data'!C25</f>
        <v/>
      </c>
      <c r="D12" s="117">
        <f>'Input Data'!C26</f>
        <v/>
      </c>
      <c r="E12" s="108" t="inlineStr">
        <is>
          <t>New / Old</t>
        </is>
      </c>
    </row>
    <row r="14" ht="15" customHeight="1" s="61">
      <c r="A14" s="118" t="inlineStr">
        <is>
          <t>3. SCENARIO 1: CREDIT QUALITY IMPACT (CE Multiple Methodology)</t>
        </is>
      </c>
    </row>
    <row r="15" ht="15" customHeight="1" s="61">
      <c r="A15" s="113" t="inlineStr">
        <is>
          <t>Approach: Apply Old Structure CE Multiples to New Pool's Actual Class-Specific WAFF×WAL</t>
        </is>
      </c>
    </row>
    <row r="16" ht="23.25" customHeight="1" s="61">
      <c r="A16" s="90" t="inlineStr">
        <is>
          <t>Class</t>
        </is>
      </c>
      <c r="B16" s="90" t="inlineStr">
        <is>
          <t>Old CE Multiple</t>
        </is>
      </c>
      <c r="C16" s="90" t="inlineStr">
        <is>
          <t>New Class WAFF×WAL</t>
        </is>
      </c>
      <c r="D16" s="90" t="inlineStr">
        <is>
          <t>Required CE</t>
        </is>
      </c>
      <c r="E16" s="90" t="inlineStr">
        <is>
          <t>Class Size</t>
        </is>
      </c>
      <c r="F16" s="90" t="inlineStr">
        <is>
          <t>Old Margin</t>
        </is>
      </c>
      <c r="G16" s="90" t="inlineStr">
        <is>
          <t>Contribution</t>
        </is>
      </c>
      <c r="H16" s="90" t="inlineStr">
        <is>
          <t>Formula CE</t>
        </is>
      </c>
      <c r="I16" s="90" t="inlineStr">
        <is>
          <t>Formula Size</t>
        </is>
      </c>
    </row>
    <row r="17" ht="15" customHeight="1" s="61">
      <c r="A17" s="103" t="inlineStr">
        <is>
          <t>A</t>
        </is>
      </c>
      <c r="B17" s="117">
        <f>'Input Data'!I6</f>
        <v/>
      </c>
      <c r="C17" s="116">
        <f>'Input Data'!H18</f>
        <v/>
      </c>
      <c r="D17" s="107">
        <f>B17*C17</f>
        <v/>
      </c>
      <c r="E17" s="107">
        <f>1-D17</f>
        <v/>
      </c>
      <c r="F17" s="117">
        <f>'Input Data'!G6</f>
        <v/>
      </c>
      <c r="G17" s="112">
        <f>E17*F17*10000</f>
        <v/>
      </c>
      <c r="H17" s="119">
        <f>B17*C17</f>
        <v/>
      </c>
      <c r="I17" s="120">
        <f>1-D17</f>
        <v/>
      </c>
    </row>
    <row r="18" ht="15" customHeight="1" s="61">
      <c r="A18" s="103" t="inlineStr">
        <is>
          <t>B</t>
        </is>
      </c>
      <c r="B18" s="117">
        <f>'Input Data'!I7</f>
        <v/>
      </c>
      <c r="C18" s="116">
        <f>'Input Data'!H19</f>
        <v/>
      </c>
      <c r="D18" s="107">
        <f>B18*C18</f>
        <v/>
      </c>
      <c r="E18" s="107">
        <f>D17-D18</f>
        <v/>
      </c>
      <c r="F18" s="117">
        <f>'Input Data'!G7</f>
        <v/>
      </c>
      <c r="G18" s="112">
        <f>E18*F18*10000</f>
        <v/>
      </c>
      <c r="H18" s="119">
        <f>B18*C18</f>
        <v/>
      </c>
      <c r="I18" s="120">
        <f>D17-D18</f>
        <v/>
      </c>
    </row>
    <row r="19" ht="15" customHeight="1" s="61">
      <c r="A19" s="103" t="inlineStr">
        <is>
          <t>C</t>
        </is>
      </c>
      <c r="B19" s="117">
        <f>'Input Data'!I8</f>
        <v/>
      </c>
      <c r="C19" s="116">
        <f>'Input Data'!H20</f>
        <v/>
      </c>
      <c r="D19" s="107">
        <f>B19*C19</f>
        <v/>
      </c>
      <c r="E19" s="107">
        <f>D18-D19</f>
        <v/>
      </c>
      <c r="F19" s="117">
        <f>'Input Data'!G8</f>
        <v/>
      </c>
      <c r="G19" s="112">
        <f>E19*F19*10000</f>
        <v/>
      </c>
      <c r="H19" s="119">
        <f>B19*C19</f>
        <v/>
      </c>
      <c r="I19" s="120">
        <f>D18-D19</f>
        <v/>
      </c>
    </row>
    <row r="20" ht="15" customHeight="1" s="61">
      <c r="A20" s="103" t="inlineStr">
        <is>
          <t>D</t>
        </is>
      </c>
      <c r="B20" s="117">
        <f>'Input Data'!I9</f>
        <v/>
      </c>
      <c r="C20" s="116">
        <f>'Input Data'!H21</f>
        <v/>
      </c>
      <c r="D20" s="107">
        <f>B20*C20</f>
        <v/>
      </c>
      <c r="E20" s="107">
        <f>D19-D20</f>
        <v/>
      </c>
      <c r="F20" s="117">
        <f>'Input Data'!G9</f>
        <v/>
      </c>
      <c r="G20" s="112">
        <f>E20*F20*10000</f>
        <v/>
      </c>
      <c r="H20" s="119">
        <f>B20*C20</f>
        <v/>
      </c>
      <c r="I20" s="120">
        <f>D19-D20</f>
        <v/>
      </c>
    </row>
    <row r="21" ht="15" customHeight="1" s="61">
      <c r="A21" s="103" t="inlineStr">
        <is>
          <t>E</t>
        </is>
      </c>
      <c r="B21" s="117">
        <f>'Input Data'!I10</f>
        <v/>
      </c>
      <c r="C21" s="116">
        <f>'Input Data'!H22</f>
        <v/>
      </c>
      <c r="D21" s="107">
        <f>B21*C21</f>
        <v/>
      </c>
      <c r="E21" s="107">
        <f>D20-D21</f>
        <v/>
      </c>
      <c r="F21" s="117">
        <f>'Input Data'!G10</f>
        <v/>
      </c>
      <c r="G21" s="112">
        <f>E21*F21*10000</f>
        <v/>
      </c>
      <c r="H21" s="119">
        <f>B21*C21</f>
        <v/>
      </c>
      <c r="I21" s="120">
        <f>D20-D21</f>
        <v/>
      </c>
    </row>
    <row r="22" ht="15" customHeight="1" s="61">
      <c r="A22" s="103" t="inlineStr">
        <is>
          <t>F</t>
        </is>
      </c>
      <c r="B22" s="117">
        <f>'Input Data'!I11</f>
        <v/>
      </c>
      <c r="C22" s="116">
        <f>'Input Data'!H23</f>
        <v/>
      </c>
      <c r="D22" s="107">
        <f>B22*C22</f>
        <v/>
      </c>
      <c r="E22" s="107">
        <f>D21-D22</f>
        <v/>
      </c>
      <c r="F22" s="117">
        <f>'Input Data'!G11</f>
        <v/>
      </c>
      <c r="G22" s="112">
        <f>E22*F22*10000</f>
        <v/>
      </c>
      <c r="H22" s="119">
        <f>B22*C22</f>
        <v/>
      </c>
      <c r="I22" s="120">
        <f>D21-D22</f>
        <v/>
      </c>
    </row>
    <row r="23" ht="15" customHeight="1" s="61">
      <c r="A23" s="103" t="inlineStr">
        <is>
          <t>G</t>
        </is>
      </c>
      <c r="B23" s="117">
        <f>'Input Data'!I12</f>
        <v/>
      </c>
      <c r="C23" s="106" t="inlineStr">
        <is>
          <t>0.00</t>
        </is>
      </c>
      <c r="D23" s="104" t="inlineStr">
        <is>
          <t>0.00%</t>
        </is>
      </c>
      <c r="E23" s="107">
        <f>D22</f>
        <v/>
      </c>
      <c r="F23" s="117">
        <f>'Input Data'!G12</f>
        <v/>
      </c>
      <c r="G23" s="112">
        <f>E23*F23*10000</f>
        <v/>
      </c>
      <c r="H23" s="119" t="inlineStr">
        <is>
          <t>N/A - First Loss</t>
        </is>
      </c>
      <c r="I23" s="120">
        <f>D22-D23</f>
        <v/>
      </c>
    </row>
    <row r="24" ht="15" customHeight="1" s="61">
      <c r="A24" s="109" t="inlineStr">
        <is>
          <t>TOTAL</t>
        </is>
      </c>
      <c r="E24" s="110">
        <f>SUM(E17:E23)</f>
        <v/>
      </c>
      <c r="G24" s="115">
        <f>SUM(G17:G23)</f>
        <v/>
      </c>
    </row>
    <row r="26" ht="15" customHeight="1" s="61">
      <c r="A26" s="118" t="inlineStr">
        <is>
          <t>4. SCENARIO 2: CREDIT + PRICING IMPACT</t>
        </is>
      </c>
    </row>
    <row r="27" ht="15" customHeight="1" s="61">
      <c r="A27" s="113" t="inlineStr">
        <is>
          <t>Approach: Apply New Market Pricing to Scenario 1 Structure</t>
        </is>
      </c>
    </row>
    <row r="28" ht="15" customHeight="1" s="61">
      <c r="A28" s="90" t="inlineStr">
        <is>
          <t>Class</t>
        </is>
      </c>
      <c r="B28" s="90" t="inlineStr">
        <is>
          <t>Scenario 1 Size</t>
        </is>
      </c>
      <c r="C28" s="90" t="inlineStr">
        <is>
          <t>New Margin</t>
        </is>
      </c>
      <c r="D28" s="90" t="inlineStr">
        <is>
          <t>Contribution</t>
        </is>
      </c>
      <c r="E28" s="90" t="inlineStr">
        <is>
          <t>Formula</t>
        </is>
      </c>
    </row>
    <row r="29" ht="15" customHeight="1" s="61">
      <c r="A29" s="103" t="inlineStr">
        <is>
          <t>A</t>
        </is>
      </c>
      <c r="B29" s="117">
        <f>E17</f>
        <v/>
      </c>
      <c r="C29" s="117">
        <f>'Input Data'!G18</f>
        <v/>
      </c>
      <c r="D29" s="112">
        <f>B29*C29*10000</f>
        <v/>
      </c>
      <c r="E29" s="119">
        <f>B29*C29*10000</f>
        <v/>
      </c>
    </row>
    <row r="30" ht="15" customHeight="1" s="61">
      <c r="A30" s="103" t="inlineStr">
        <is>
          <t>B</t>
        </is>
      </c>
      <c r="B30" s="117">
        <f>E18</f>
        <v/>
      </c>
      <c r="C30" s="117">
        <f>'Input Data'!G19</f>
        <v/>
      </c>
      <c r="D30" s="112">
        <f>B30*C30*10000</f>
        <v/>
      </c>
      <c r="E30" s="119">
        <f>B30*C30*10000</f>
        <v/>
      </c>
    </row>
    <row r="31" ht="15" customHeight="1" s="61">
      <c r="A31" s="103" t="inlineStr">
        <is>
          <t>C</t>
        </is>
      </c>
      <c r="B31" s="117">
        <f>E19</f>
        <v/>
      </c>
      <c r="C31" s="117">
        <f>'Input Data'!G20</f>
        <v/>
      </c>
      <c r="D31" s="112">
        <f>B31*C31*10000</f>
        <v/>
      </c>
      <c r="E31" s="119">
        <f>B31*C31*10000</f>
        <v/>
      </c>
    </row>
    <row r="32" ht="15" customHeight="1" s="61">
      <c r="A32" s="103" t="inlineStr">
        <is>
          <t>D</t>
        </is>
      </c>
      <c r="B32" s="117">
        <f>E20</f>
        <v/>
      </c>
      <c r="C32" s="117">
        <f>'Input Data'!G21</f>
        <v/>
      </c>
      <c r="D32" s="112">
        <f>B32*C32*10000</f>
        <v/>
      </c>
      <c r="E32" s="119">
        <f>B32*C32*10000</f>
        <v/>
      </c>
    </row>
    <row r="33" ht="15" customHeight="1" s="61">
      <c r="A33" s="103" t="inlineStr">
        <is>
          <t>E</t>
        </is>
      </c>
      <c r="B33" s="117">
        <f>E21</f>
        <v/>
      </c>
      <c r="C33" s="117">
        <f>'Input Data'!G22</f>
        <v/>
      </c>
      <c r="D33" s="112">
        <f>B33*C33*10000</f>
        <v/>
      </c>
      <c r="E33" s="119">
        <f>B33*C33*10000</f>
        <v/>
      </c>
    </row>
    <row r="34" ht="15" customHeight="1" s="61">
      <c r="A34" s="103" t="inlineStr">
        <is>
          <t>F</t>
        </is>
      </c>
      <c r="B34" s="117">
        <f>E22</f>
        <v/>
      </c>
      <c r="C34" s="117">
        <f>'Input Data'!G23</f>
        <v/>
      </c>
      <c r="D34" s="112">
        <f>B34*C34*10000</f>
        <v/>
      </c>
      <c r="E34" s="119">
        <f>B34*C34*10000</f>
        <v/>
      </c>
    </row>
    <row r="35" ht="15" customHeight="1" s="61">
      <c r="A35" s="103" t="inlineStr">
        <is>
          <t>G</t>
        </is>
      </c>
      <c r="B35" s="117">
        <f>E23</f>
        <v/>
      </c>
      <c r="C35" s="104" t="n">
        <v>0.065</v>
      </c>
      <c r="D35" s="112">
        <f>B35*C35*10000</f>
        <v/>
      </c>
      <c r="E35" s="119">
        <f>B35*C35*10000</f>
        <v/>
      </c>
    </row>
    <row r="36" ht="15" customHeight="1" s="61">
      <c r="A36" s="109" t="inlineStr">
        <is>
          <t>TOTAL</t>
        </is>
      </c>
      <c r="B36" s="110">
        <f>SUM(B29:B35)</f>
        <v/>
      </c>
      <c r="D36" s="115">
        <f>SUM(D29:D35)</f>
        <v/>
      </c>
    </row>
    <row r="38" ht="15" customHeight="1" s="61">
      <c r="A38" s="102" t="inlineStr">
        <is>
          <t>5. SCENARIO CASCADE SUMMARY</t>
        </is>
      </c>
    </row>
    <row r="39" ht="15" customHeight="1" s="61">
      <c r="A39" s="90" t="inlineStr">
        <is>
          <t>Scenario</t>
        </is>
      </c>
      <c r="B39" s="90" t="inlineStr">
        <is>
          <t>Description</t>
        </is>
      </c>
      <c r="C39" s="90" t="inlineStr">
        <is>
          <t>Credit</t>
        </is>
      </c>
      <c r="D39" s="90" t="inlineStr">
        <is>
          <t>Pricing</t>
        </is>
      </c>
      <c r="E39" s="90" t="inlineStr">
        <is>
          <t>Structure</t>
        </is>
      </c>
      <c r="F39" s="90" t="inlineStr">
        <is>
          <t>WACD (bps)</t>
        </is>
      </c>
      <c r="G39" s="90" t="inlineStr">
        <is>
          <t>Δ Marginal</t>
        </is>
      </c>
      <c r="H39" s="90" t="inlineStr">
        <is>
          <t>Δ Cumulative</t>
        </is>
      </c>
    </row>
    <row r="40" ht="15" customHeight="1" s="61">
      <c r="A40" s="103" t="inlineStr">
        <is>
          <t>0: Baseline</t>
        </is>
      </c>
      <c r="B40" s="103" t="inlineStr">
        <is>
          <t>Old structure, old credit, old pricing</t>
        </is>
      </c>
      <c r="C40" s="103" t="inlineStr">
        <is>
          <t>Old</t>
        </is>
      </c>
      <c r="D40" s="103" t="inlineStr">
        <is>
          <t>Old</t>
        </is>
      </c>
      <c r="E40" s="103" t="inlineStr">
        <is>
          <t>Old (7 classes)</t>
        </is>
      </c>
      <c r="F40" s="116">
        <f>B6</f>
        <v/>
      </c>
      <c r="G40" s="89" t="inlineStr">
        <is>
          <t>-</t>
        </is>
      </c>
      <c r="H40" s="89" t="inlineStr">
        <is>
          <t>-</t>
        </is>
      </c>
    </row>
    <row r="41" ht="15" customHeight="1" s="61">
      <c r="A41" s="103" t="inlineStr">
        <is>
          <t>1: Credit Δ</t>
        </is>
      </c>
      <c r="B41" s="103" t="inlineStr">
        <is>
          <t>Old CE Multiples × New Class WAFF×WAL, old pricing</t>
        </is>
      </c>
      <c r="C41" s="103" t="inlineStr">
        <is>
          <t>New</t>
        </is>
      </c>
      <c r="D41" s="103" t="inlineStr">
        <is>
          <t>Old</t>
        </is>
      </c>
      <c r="E41" s="103" t="inlineStr">
        <is>
          <t>Old (7 cls scaled)</t>
        </is>
      </c>
      <c r="F41" s="112">
        <f>G24</f>
        <v/>
      </c>
      <c r="G41" s="112">
        <f>F41-F40</f>
        <v/>
      </c>
      <c r="H41" s="112">
        <f>F41-F40</f>
        <v/>
      </c>
    </row>
    <row r="42" ht="15" customHeight="1" s="61">
      <c r="A42" s="103" t="inlineStr">
        <is>
          <t>2: Credit+Pricing Δ</t>
        </is>
      </c>
      <c r="B42" s="103" t="inlineStr">
        <is>
          <t>Scenario 1 structure with new market pricing</t>
        </is>
      </c>
      <c r="C42" s="103" t="inlineStr">
        <is>
          <t>New</t>
        </is>
      </c>
      <c r="D42" s="103" t="inlineStr">
        <is>
          <t>New</t>
        </is>
      </c>
      <c r="E42" s="103" t="inlineStr">
        <is>
          <t>Old (7 cls scaled)</t>
        </is>
      </c>
      <c r="F42" s="112">
        <f>D36</f>
        <v/>
      </c>
      <c r="G42" s="112">
        <f>F42-F41</f>
        <v/>
      </c>
      <c r="H42" s="112">
        <f>F42-F40</f>
        <v/>
      </c>
    </row>
    <row r="43" ht="15" customHeight="1" s="61">
      <c r="A43" s="103" t="inlineStr">
        <is>
          <t>3: Actual New</t>
        </is>
      </c>
      <c r="B43" s="103" t="inlineStr">
        <is>
          <t>Actual new structure (optimized, 6 classes)</t>
        </is>
      </c>
      <c r="C43" s="103" t="inlineStr">
        <is>
          <t>New</t>
        </is>
      </c>
      <c r="D43" s="103" t="inlineStr">
        <is>
          <t>New</t>
        </is>
      </c>
      <c r="E43" s="103" t="inlineStr">
        <is>
          <t>New (6 classes)</t>
        </is>
      </c>
      <c r="F43" s="112">
        <f>B7</f>
        <v/>
      </c>
      <c r="G43" s="112">
        <f>F43-F42</f>
        <v/>
      </c>
      <c r="H43" s="112">
        <f>F43-F40</f>
        <v/>
      </c>
    </row>
    <row r="44" ht="15" customHeight="1" s="61">
      <c r="A44" s="103" t="inlineStr">
        <is>
          <t>4: Pure Structure</t>
        </is>
      </c>
      <c r="B44" s="103" t="inlineStr">
        <is>
          <t>New structure applied to OLD credit (hypothetical)</t>
        </is>
      </c>
      <c r="C44" s="103" t="inlineStr">
        <is>
          <t>Old</t>
        </is>
      </c>
      <c r="D44" s="103" t="inlineStr">
        <is>
          <t>Old</t>
        </is>
      </c>
      <c r="E44" s="103" t="inlineStr">
        <is>
          <t>New (6 cls)</t>
        </is>
      </c>
      <c r="F44" s="121">
        <f>G66</f>
        <v/>
      </c>
      <c r="G44" s="112">
        <f>F44-F40</f>
        <v/>
      </c>
      <c r="H44" s="112">
        <f>F44-F40</f>
        <v/>
      </c>
    </row>
    <row r="57" ht="15" customHeight="1" s="61">
      <c r="A57" s="122" t="inlineStr">
        <is>
          <t>SCENARIO 4: PURE STRUCTURAL VALUE (Hypothetical)</t>
        </is>
      </c>
    </row>
    <row r="58" ht="15" customHeight="1" s="61">
      <c r="A58" s="113" t="inlineStr">
        <is>
          <t>Shows value of new structure CE Multiples if applied to OLD pool's actual class WAFF×WAL values</t>
        </is>
      </c>
    </row>
    <row r="59" ht="23.25" customHeight="1" s="61">
      <c r="A59" s="90" t="inlineStr">
        <is>
          <t>Class</t>
        </is>
      </c>
      <c r="B59" s="90" t="inlineStr">
        <is>
          <t>New CE Mult</t>
        </is>
      </c>
      <c r="C59" s="90" t="inlineStr">
        <is>
          <t>Old-Pool Class WAFF×WAL</t>
        </is>
      </c>
      <c r="D59" s="90" t="inlineStr">
        <is>
          <t>Req CE</t>
        </is>
      </c>
      <c r="E59" s="90" t="inlineStr">
        <is>
          <t>Size</t>
        </is>
      </c>
      <c r="F59" s="90" t="inlineStr">
        <is>
          <t>Old Margin</t>
        </is>
      </c>
      <c r="G59" s="90" t="inlineStr">
        <is>
          <t>Contrib (bps)</t>
        </is>
      </c>
      <c r="H59" s="90" t="inlineStr">
        <is>
          <t>Formula</t>
        </is>
      </c>
    </row>
    <row r="60" ht="15" customHeight="1" s="61">
      <c r="A60" s="103" t="inlineStr">
        <is>
          <t>A</t>
        </is>
      </c>
      <c r="B60" s="117">
        <f>'Input Data'!I18</f>
        <v/>
      </c>
      <c r="C60" s="116">
        <f>'Input Data'!H6</f>
        <v/>
      </c>
      <c r="D60" s="107">
        <f>B60*C60</f>
        <v/>
      </c>
      <c r="E60" s="107">
        <f>1-D60</f>
        <v/>
      </c>
      <c r="F60" s="117">
        <f>'Input Data'!G6</f>
        <v/>
      </c>
      <c r="G60" s="112">
        <f>E60*F60*10000</f>
        <v/>
      </c>
      <c r="H60" s="119" t="inlineStr">
        <is>
          <t>New CE Mult × Old WAFF×WAL</t>
        </is>
      </c>
    </row>
    <row r="61" ht="15" customHeight="1" s="61">
      <c r="A61" s="103" t="inlineStr">
        <is>
          <t>B</t>
        </is>
      </c>
      <c r="B61" s="117">
        <f>'Input Data'!I19</f>
        <v/>
      </c>
      <c r="C61" s="116">
        <f>'Input Data'!H7</f>
        <v/>
      </c>
      <c r="D61" s="107">
        <f>B61*C61</f>
        <v/>
      </c>
      <c r="E61" s="107">
        <f>D60-D61</f>
        <v/>
      </c>
      <c r="F61" s="117">
        <f>'Input Data'!G7</f>
        <v/>
      </c>
      <c r="G61" s="112">
        <f>E61*F61*10000</f>
        <v/>
      </c>
      <c r="H61" s="119" t="inlineStr">
        <is>
          <t>New CE Mult × Old WAFF×WAL</t>
        </is>
      </c>
    </row>
    <row r="62" ht="15" customHeight="1" s="61">
      <c r="A62" s="103" t="inlineStr">
        <is>
          <t>C</t>
        </is>
      </c>
      <c r="B62" s="117">
        <f>'Input Data'!I20</f>
        <v/>
      </c>
      <c r="C62" s="116">
        <f>'Input Data'!H8</f>
        <v/>
      </c>
      <c r="D62" s="107">
        <f>B62*C62</f>
        <v/>
      </c>
      <c r="E62" s="107">
        <f>D61-D62</f>
        <v/>
      </c>
      <c r="F62" s="117">
        <f>'Input Data'!G8</f>
        <v/>
      </c>
      <c r="G62" s="112">
        <f>E62*F62*10000</f>
        <v/>
      </c>
      <c r="H62" s="119" t="inlineStr">
        <is>
          <t>New CE Mult × Old WAFF×WAL</t>
        </is>
      </c>
    </row>
    <row r="63" ht="15" customHeight="1" s="61">
      <c r="A63" s="103" t="inlineStr">
        <is>
          <t>D</t>
        </is>
      </c>
      <c r="B63" s="117">
        <f>'Input Data'!I21</f>
        <v/>
      </c>
      <c r="C63" s="116">
        <f>'Input Data'!H9</f>
        <v/>
      </c>
      <c r="D63" s="107">
        <f>B63*C63</f>
        <v/>
      </c>
      <c r="E63" s="107">
        <f>D62-D63</f>
        <v/>
      </c>
      <c r="F63" s="117">
        <f>'Input Data'!G9</f>
        <v/>
      </c>
      <c r="G63" s="112">
        <f>E63*F63*10000</f>
        <v/>
      </c>
      <c r="H63" s="119" t="inlineStr">
        <is>
          <t>New CE Mult × Old WAFF×WAL</t>
        </is>
      </c>
    </row>
    <row r="64" ht="15" customHeight="1" s="61">
      <c r="A64" s="103" t="inlineStr">
        <is>
          <t>E</t>
        </is>
      </c>
      <c r="B64" s="117">
        <f>'Input Data'!I22</f>
        <v/>
      </c>
      <c r="C64" s="116">
        <f>'Input Data'!H10</f>
        <v/>
      </c>
      <c r="D64" s="107">
        <f>B64*C64</f>
        <v/>
      </c>
      <c r="E64" s="107">
        <f>D63-D64</f>
        <v/>
      </c>
      <c r="F64" s="117">
        <f>'Input Data'!G10</f>
        <v/>
      </c>
      <c r="G64" s="112">
        <f>E64*F64*10000</f>
        <v/>
      </c>
      <c r="H64" s="119" t="inlineStr">
        <is>
          <t>New CE Mult × Old WAFF×WAL</t>
        </is>
      </c>
    </row>
    <row r="65" ht="15" customHeight="1" s="61">
      <c r="A65" s="103" t="inlineStr">
        <is>
          <t>F</t>
        </is>
      </c>
      <c r="B65" s="117">
        <f>'Input Data'!I23</f>
        <v/>
      </c>
      <c r="C65" s="116">
        <f>'Input Data'!H11</f>
        <v/>
      </c>
      <c r="D65" s="107">
        <f>B65*C65</f>
        <v/>
      </c>
      <c r="E65" s="107">
        <f>D64-D65</f>
        <v/>
      </c>
      <c r="F65" s="117">
        <f>'Input Data'!G11</f>
        <v/>
      </c>
      <c r="G65" s="112">
        <f>E65*F65*10000</f>
        <v/>
      </c>
      <c r="H65" s="119" t="inlineStr">
        <is>
          <t>New CE Mult × Old WAFF×WAL</t>
        </is>
      </c>
    </row>
    <row r="66" ht="15" customHeight="1" s="61">
      <c r="A66" s="109" t="inlineStr">
        <is>
          <t>TOTAL</t>
        </is>
      </c>
      <c r="E66" s="110">
        <f>SUM(E60:E65)</f>
        <v/>
      </c>
      <c r="G66" s="115">
        <f>SUM(G60:G65)</f>
        <v/>
      </c>
    </row>
    <row r="67" ht="15" customHeight="1" s="61">
      <c r="A67" s="123" t="inlineStr">
        <is>
          <t>ASSUMPTION:</t>
        </is>
      </c>
    </row>
    <row r="68" ht="21.75" customHeight="1" s="61">
      <c r="A68" s="124" t="inlineStr">
        <is>
          <t>Uses old pool's class-specific WAFF×WAL from the 7-class structure. Assumes class position (AAA, AA, etc.) drives WAFF×WAL more than absolute pool quality. This is an approximation since the old pool was modeled with 7 classes and new pool with 6 classes.</t>
        </is>
      </c>
    </row>
  </sheetData>
  <mergeCells count="13">
    <mergeCell ref="A58:K58"/>
    <mergeCell ref="A4:K4"/>
    <mergeCell ref="A26:K26"/>
    <mergeCell ref="A27:K27"/>
    <mergeCell ref="A15:K15"/>
    <mergeCell ref="A57:K57"/>
    <mergeCell ref="A38:K38"/>
    <mergeCell ref="A2:K2"/>
    <mergeCell ref="A10:K10"/>
    <mergeCell ref="A68:K68"/>
    <mergeCell ref="A14:K14"/>
    <mergeCell ref="A1:K1"/>
    <mergeCell ref="A67:K6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I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8" customWidth="1" style="84" min="1" max="1"/>
    <col width="10" customWidth="1" style="84" min="2" max="2"/>
    <col width="12" customWidth="1" style="84" min="3" max="4"/>
    <col width="14" customWidth="1" style="84" min="5" max="7"/>
    <col width="16" customWidth="1" style="84" min="8" max="8"/>
    <col width="25" customWidth="1" style="84" min="9" max="9"/>
  </cols>
  <sheetData>
    <row r="1" ht="17.25" customHeight="1" s="61">
      <c r="A1" s="100" t="inlineStr">
        <is>
          <t>CE MULTIPLE EFFICIENCY ANALYSIS</t>
        </is>
      </c>
    </row>
    <row r="2" ht="15" customHeight="1" s="61">
      <c r="A2" s="101" t="inlineStr">
        <is>
          <t>Quantifying Structural Optimization by Rating Level</t>
        </is>
      </c>
    </row>
    <row r="4" ht="15" customHeight="1" s="61">
      <c r="A4" s="102" t="inlineStr">
        <is>
          <t>CE Multiple Comparison</t>
        </is>
      </c>
    </row>
    <row r="5" ht="23.25" customHeight="1" s="61">
      <c r="A5" s="90" t="inlineStr">
        <is>
          <t>Class</t>
        </is>
      </c>
      <c r="B5" s="90" t="inlineStr">
        <is>
          <t>Rating</t>
        </is>
      </c>
      <c r="C5" s="90" t="inlineStr">
        <is>
          <t>Old CE Mult</t>
        </is>
      </c>
      <c r="D5" s="90" t="inlineStr">
        <is>
          <t>New CE Mult</t>
        </is>
      </c>
      <c r="E5" s="90" t="inlineStr">
        <is>
          <t>Efficiency Gain</t>
        </is>
      </c>
      <c r="F5" s="90" t="inlineStr">
        <is>
          <t>Scen1 Req CE</t>
        </is>
      </c>
      <c r="G5" s="90" t="inlineStr">
        <is>
          <t>Actual New CE</t>
        </is>
      </c>
      <c r="H5" s="90" t="inlineStr">
        <is>
          <t>Subord. Saved (pp)</t>
        </is>
      </c>
      <c r="I5" s="90" t="inlineStr">
        <is>
          <t>Interpretation</t>
        </is>
      </c>
    </row>
    <row r="6" ht="15" customHeight="1" s="61">
      <c r="A6" s="103" t="inlineStr">
        <is>
          <t>A</t>
        </is>
      </c>
      <c r="B6" s="125">
        <f>'Input Data'!B18</f>
        <v/>
      </c>
      <c r="C6" s="117">
        <f>'Input Data'!I6</f>
        <v/>
      </c>
      <c r="D6" s="117">
        <f>'Input Data'!I18</f>
        <v/>
      </c>
      <c r="E6" s="126">
        <f>C6-D6</f>
        <v/>
      </c>
      <c r="F6" s="117">
        <f>Calculations!D17</f>
        <v/>
      </c>
      <c r="G6" s="127">
        <f>'Input Data'!D18</f>
        <v/>
      </c>
      <c r="H6" s="126">
        <f>F6-G6</f>
        <v/>
      </c>
      <c r="I6" s="108" t="inlineStr">
        <is>
          <t>0.66pp less CE needed</t>
        </is>
      </c>
    </row>
    <row r="7" ht="15" customHeight="1" s="61">
      <c r="A7" s="103" t="inlineStr">
        <is>
          <t>B</t>
        </is>
      </c>
      <c r="B7" s="125">
        <f>'Input Data'!B19</f>
        <v/>
      </c>
      <c r="C7" s="117">
        <f>'Input Data'!I7</f>
        <v/>
      </c>
      <c r="D7" s="117">
        <f>'Input Data'!I19</f>
        <v/>
      </c>
      <c r="E7" s="107">
        <f>C7-D7</f>
        <v/>
      </c>
      <c r="F7" s="117">
        <f>Calculations!D18</f>
        <v/>
      </c>
      <c r="G7" s="117">
        <f>'Input Data'!D19</f>
        <v/>
      </c>
      <c r="H7" s="107">
        <f>F7-G7</f>
        <v/>
      </c>
      <c r="I7" s="108" t="inlineStr">
        <is>
          <t>Slight increase (0.13pp)</t>
        </is>
      </c>
    </row>
    <row r="8" ht="15" customHeight="1" s="61">
      <c r="A8" s="103" t="inlineStr">
        <is>
          <t>C</t>
        </is>
      </c>
      <c r="B8" s="125">
        <f>'Input Data'!B20</f>
        <v/>
      </c>
      <c r="C8" s="117">
        <f>'Input Data'!I8</f>
        <v/>
      </c>
      <c r="D8" s="117">
        <f>'Input Data'!I20</f>
        <v/>
      </c>
      <c r="E8" s="126">
        <f>C8-D8</f>
        <v/>
      </c>
      <c r="F8" s="117">
        <f>Calculations!D19</f>
        <v/>
      </c>
      <c r="G8" s="127">
        <f>'Input Data'!D20</f>
        <v/>
      </c>
      <c r="H8" s="126">
        <f>F8-G8</f>
        <v/>
      </c>
      <c r="I8" s="108" t="inlineStr">
        <is>
          <t>0.37pp efficiency gain</t>
        </is>
      </c>
    </row>
    <row r="9" ht="15" customHeight="1" s="61">
      <c r="A9" s="103" t="inlineStr">
        <is>
          <t>D</t>
        </is>
      </c>
      <c r="B9" s="125">
        <f>'Input Data'!B21</f>
        <v/>
      </c>
      <c r="C9" s="117">
        <f>'Input Data'!I9</f>
        <v/>
      </c>
      <c r="D9" s="117">
        <f>'Input Data'!I21</f>
        <v/>
      </c>
      <c r="E9" s="126">
        <f>C9-D9</f>
        <v/>
      </c>
      <c r="F9" s="117">
        <f>Calculations!D20</f>
        <v/>
      </c>
      <c r="G9" s="127">
        <f>'Input Data'!D21</f>
        <v/>
      </c>
      <c r="H9" s="126">
        <f>F9-G9</f>
        <v/>
      </c>
      <c r="I9" s="108" t="inlineStr">
        <is>
          <t>0.20pp saved</t>
        </is>
      </c>
    </row>
    <row r="10" ht="15" customHeight="1" s="61">
      <c r="A10" s="103" t="inlineStr">
        <is>
          <t>E</t>
        </is>
      </c>
      <c r="B10" s="125">
        <f>'Input Data'!B22</f>
        <v/>
      </c>
      <c r="C10" s="117">
        <f>'Input Data'!I10</f>
        <v/>
      </c>
      <c r="D10" s="117">
        <f>'Input Data'!I22</f>
        <v/>
      </c>
      <c r="E10" s="126">
        <f>C10-D10</f>
        <v/>
      </c>
      <c r="F10" s="117">
        <f>Calculations!D21</f>
        <v/>
      </c>
      <c r="G10" s="127">
        <f>'Input Data'!D22</f>
        <v/>
      </c>
      <c r="H10" s="126">
        <f>F10-G10</f>
        <v/>
      </c>
      <c r="I10" s="108" t="inlineStr">
        <is>
          <t>0.54pp major saving</t>
        </is>
      </c>
    </row>
    <row r="11" ht="15" customHeight="1" s="61">
      <c r="A11" s="103" t="inlineStr">
        <is>
          <t>F</t>
        </is>
      </c>
      <c r="B11" s="125">
        <f>'Input Data'!B23</f>
        <v/>
      </c>
      <c r="C11" s="117">
        <f>'Input Data'!I11</f>
        <v/>
      </c>
      <c r="D11" s="117">
        <f>'Input Data'!I23</f>
        <v/>
      </c>
      <c r="E11" s="126">
        <f>C11-D11</f>
        <v/>
      </c>
      <c r="F11" s="117">
        <f>Calculations!D22</f>
        <v/>
      </c>
      <c r="G11" s="127">
        <f>'Input Data'!D23</f>
        <v/>
      </c>
      <c r="H11" s="126">
        <f>F11-G11</f>
        <v/>
      </c>
      <c r="I11" s="128" t="inlineStr">
        <is>
          <t>100% efficiency - eliminated</t>
        </is>
      </c>
    </row>
    <row r="12" ht="15" customHeight="1" s="61">
      <c r="A12" s="129" t="inlineStr">
        <is>
          <t>TOTAL SUBORDINATION SAVED</t>
        </is>
      </c>
      <c r="F12" s="110">
        <f>SUM(F6:F11)</f>
        <v/>
      </c>
      <c r="G12" s="130">
        <f>SUM(G6:G11)</f>
        <v/>
      </c>
      <c r="H12" s="130">
        <f>SUM(H6:H11)</f>
        <v/>
      </c>
      <c r="I12" s="108" t="inlineStr">
        <is>
          <t>Net structural efficiency</t>
        </is>
      </c>
    </row>
    <row r="14" ht="15" customHeight="1" s="61">
      <c r="A14" s="131" t="inlineStr">
        <is>
          <t>Note on Class F:</t>
        </is>
      </c>
    </row>
    <row r="15" ht="15" customHeight="1" s="61">
      <c r="A15" s="132" t="inlineStr">
        <is>
          <t>Class F achieved 100% efficiency gain (completely eliminated). CE Multiple went from 0.45% to 0.00%. Absolute subordination saved: 0.25pp.</t>
        </is>
      </c>
      <c r="I15" s="132" t="n"/>
    </row>
    <row r="16" ht="15" customHeight="1" s="61">
      <c r="A16" s="97" t="inlineStr">
        <is>
          <t>1. Total subordination saved: Sum of (Required CE - Actual CE) across all classes</t>
        </is>
      </c>
    </row>
    <row r="17" ht="15" customHeight="1" s="61">
      <c r="A17" s="133" t="inlineStr">
        <is>
          <t>Key Metrics Explained:</t>
        </is>
      </c>
      <c r="I17" s="133" t="n"/>
    </row>
    <row r="18" ht="15" customHeight="1" s="61">
      <c r="A18" s="134" t="inlineStr">
        <is>
          <t>• Efficiency Gain (Column E): Change in CE Multiple = Old CE Mult - New CE Mult (in percentage points)</t>
        </is>
      </c>
    </row>
    <row r="19" ht="15" customHeight="1" s="61">
      <c r="A19" s="134" t="inlineStr">
        <is>
          <t>• Subordination Saved (Column H): Actual CE saved = Required CE (Scenario 1) - Actual CE (New Structure) in pp</t>
        </is>
      </c>
      <c r="I19" s="134" t="n"/>
    </row>
    <row r="20" ht="15" customHeight="1" s="61">
      <c r="A20" s="134" t="inlineStr">
        <is>
          <t>• Class F: 100% efficiency (eliminated entirely), saving 0.25pp of absolute subordination</t>
        </is>
      </c>
    </row>
    <row r="21" ht="15" customHeight="1" s="61">
      <c r="A21" s="134" t="inlineStr">
        <is>
          <t>• Total 2.14pp saved: Cumulative structural efficiency across capital structure = cost saving driver</t>
        </is>
      </c>
    </row>
  </sheetData>
  <mergeCells count="11">
    <mergeCell ref="A4:H4"/>
    <mergeCell ref="A15:H15"/>
    <mergeCell ref="A2:H2"/>
    <mergeCell ref="A18:I18"/>
    <mergeCell ref="A19:H19"/>
    <mergeCell ref="A14:H14"/>
    <mergeCell ref="A1:H1"/>
    <mergeCell ref="A20:I20"/>
    <mergeCell ref="A21:I21"/>
    <mergeCell ref="A16:I16"/>
    <mergeCell ref="A17:H1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E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84" min="1" max="1"/>
    <col width="16" customWidth="1" style="84" min="2" max="2"/>
    <col width="14" customWidth="1" style="84" min="3" max="3"/>
    <col width="16" customWidth="1" style="84" min="4" max="4"/>
    <col width="20" customWidth="1" style="84" min="5" max="5"/>
  </cols>
  <sheetData>
    <row r="1" ht="17.25" customHeight="1" s="61">
      <c r="A1" s="100" t="inlineStr">
        <is>
          <t>EXECUTIVE SUMMARY</t>
        </is>
      </c>
    </row>
    <row r="3" ht="15" customHeight="1" s="61">
      <c r="A3" s="102" t="inlineStr">
        <is>
          <t>Decomposition of Cost Change</t>
        </is>
      </c>
    </row>
    <row r="4" ht="15" customHeight="1" s="61">
      <c r="A4" s="114" t="inlineStr">
        <is>
          <t>Component</t>
        </is>
      </c>
      <c r="B4" s="114" t="inlineStr">
        <is>
          <t>Impact (bps)</t>
        </is>
      </c>
      <c r="C4" s="114" t="inlineStr">
        <is>
          <t>% of Total Δ</t>
        </is>
      </c>
      <c r="D4" s="114" t="inlineStr">
        <is>
          <t>Cumulative (bps)</t>
        </is>
      </c>
      <c r="E4" s="114" t="inlineStr">
        <is>
          <t>Formula</t>
        </is>
      </c>
    </row>
    <row r="5" ht="15" customHeight="1" s="61">
      <c r="A5" s="109" t="inlineStr">
        <is>
          <t>Baseline (Old Structure)</t>
        </is>
      </c>
      <c r="B5" s="115">
        <f>Calculations!F40</f>
        <v/>
      </c>
      <c r="C5" s="89" t="inlineStr">
        <is>
          <t>-</t>
        </is>
      </c>
      <c r="D5" s="115">
        <f>B5</f>
        <v/>
      </c>
      <c r="E5" s="108" t="inlineStr">
        <is>
          <t>Old WACD</t>
        </is>
      </c>
    </row>
    <row r="6" ht="15" customHeight="1" s="61">
      <c r="A6" s="103" t="inlineStr">
        <is>
          <t>Credit Quality Deterioration</t>
        </is>
      </c>
      <c r="B6" s="112">
        <f>Calculations!G41</f>
        <v/>
      </c>
      <c r="C6" s="135">
        <f>B6/B9</f>
        <v/>
      </c>
      <c r="D6" s="112">
        <f>B5+B6</f>
        <v/>
      </c>
      <c r="E6" s="108" t="inlineStr">
        <is>
          <t>Scen1 - Scen0</t>
        </is>
      </c>
    </row>
    <row r="7" ht="15" customHeight="1" s="61">
      <c r="A7" s="103" t="inlineStr">
        <is>
          <t>Market Pricing Widening</t>
        </is>
      </c>
      <c r="B7" s="112">
        <f>Calculations!G42</f>
        <v/>
      </c>
      <c r="C7" s="135">
        <f>B7/B9</f>
        <v/>
      </c>
      <c r="D7" s="112">
        <f>D6+B7</f>
        <v/>
      </c>
      <c r="E7" s="108" t="inlineStr">
        <is>
          <t>Scen2 - Scen1</t>
        </is>
      </c>
    </row>
    <row r="8" ht="15" customHeight="1" s="61">
      <c r="A8" s="103" t="inlineStr">
        <is>
          <t>Structural Optimization</t>
        </is>
      </c>
      <c r="B8" s="136">
        <f>Calculations!G43</f>
        <v/>
      </c>
      <c r="C8" s="135">
        <f>B8/B9</f>
        <v/>
      </c>
      <c r="D8" s="112">
        <f>D7+B8</f>
        <v/>
      </c>
      <c r="E8" s="108" t="inlineStr">
        <is>
          <t>Scen3 - Scen2</t>
        </is>
      </c>
    </row>
    <row r="9" ht="15" customHeight="1" s="61">
      <c r="A9" s="109" t="inlineStr">
        <is>
          <t>Total Change</t>
        </is>
      </c>
      <c r="B9" s="115">
        <f>Calculations!H43</f>
        <v/>
      </c>
      <c r="C9" s="137" t="inlineStr">
        <is>
          <t>100.0%</t>
        </is>
      </c>
      <c r="D9" s="115">
        <f>Calculations!F43</f>
        <v/>
      </c>
      <c r="E9" s="108" t="inlineStr">
        <is>
          <t>New - Old WACD</t>
        </is>
      </c>
    </row>
    <row r="11" ht="15" customHeight="1" s="61">
      <c r="A11" s="102" t="inlineStr">
        <is>
          <t>Monetary Value of Structural Optimization</t>
        </is>
      </c>
    </row>
    <row r="12" ht="15" customHeight="1" s="61">
      <c r="A12" s="103" t="inlineStr">
        <is>
          <t>Structural Saving (bps)</t>
        </is>
      </c>
      <c r="B12" s="112">
        <f>ABS(B8)</f>
        <v/>
      </c>
      <c r="E12" s="108">
        <f>ABS(B8)</f>
        <v/>
      </c>
    </row>
    <row r="13" ht="15" customHeight="1" s="61">
      <c r="A13" s="103" t="inlineStr">
        <is>
          <t>New Structure Collateral (£)</t>
        </is>
      </c>
      <c r="B13" s="138">
        <f>'Input Data'!E24</f>
        <v/>
      </c>
      <c r="E13" s="108" t="inlineStr">
        <is>
          <t>Total new collateral</t>
        </is>
      </c>
    </row>
    <row r="14" ht="15" customHeight="1" s="61">
      <c r="A14" s="95" t="inlineStr">
        <is>
          <t>Annual Saving (£)</t>
        </is>
      </c>
      <c r="B14" s="139">
        <f>B13*(B12/10000)</f>
        <v/>
      </c>
      <c r="E14" s="108" t="inlineStr">
        <is>
          <t>Collateral × bps / 10000</t>
        </is>
      </c>
    </row>
  </sheetData>
  <mergeCells count="3">
    <mergeCell ref="A11:E11"/>
    <mergeCell ref="A1:E1"/>
    <mergeCell ref="A3:E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2026-01-27T12:13:53Z</dcterms:created>
  <dcterms:modified xmlns:dcterms="http://purl.org/dc/terms/" xmlns:xsi="http://www.w3.org/2001/XMLSchema-instance" xsi:type="dcterms:W3CDTF">2026-01-29T18:07:52Z</dcterms:modified>
  <cp:revision>0</cp:revision>
</cp:coreProperties>
</file>