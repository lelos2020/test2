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Jurisdiction Parameters" sheetId="2" state="visible" r:id="rId2"/>
    <sheet xmlns:r="http://schemas.openxmlformats.org/officeDocument/2006/relationships" name="Rating Parameters" sheetId="3" state="visible" r:id="rId3"/>
    <sheet xmlns:r="http://schemas.openxmlformats.org/officeDocument/2006/relationships" name="LTV Curve" sheetId="4" state="visible" r:id="rId4"/>
    <sheet xmlns:r="http://schemas.openxmlformats.org/officeDocument/2006/relationships" name="FF Parameters" sheetId="5" state="visible" r:id="rId5"/>
    <sheet xmlns:r="http://schemas.openxmlformats.org/officeDocument/2006/relationships" name="FF Adj Parameters" sheetId="6" state="visible" r:id="rId6"/>
    <sheet xmlns:r="http://schemas.openxmlformats.org/officeDocument/2006/relationships" name="LS Parameters" sheetId="7" state="visible" r:id="rId7"/>
    <sheet xmlns:r="http://schemas.openxmlformats.org/officeDocument/2006/relationships" name="BoE Mapping" sheetId="8" state="visible" r:id="rId8"/>
    <sheet xmlns:r="http://schemas.openxmlformats.org/officeDocument/2006/relationships" name="Loan Tape (BoE)" sheetId="9" state="visible" r:id="rId9"/>
    <sheet xmlns:r="http://schemas.openxmlformats.org/officeDocument/2006/relationships" name="Loan Tape (S&amp;P)" sheetId="10" state="visible" r:id="rId10"/>
    <sheet xmlns:r="http://schemas.openxmlformats.org/officeDocument/2006/relationships" name="FF Calculations" sheetId="11" state="visible" r:id="rId11"/>
    <sheet xmlns:r="http://schemas.openxmlformats.org/officeDocument/2006/relationships" name="LS Calculations" sheetId="12" state="visible" r:id="rId12"/>
    <sheet xmlns:r="http://schemas.openxmlformats.org/officeDocument/2006/relationships" name="Adjustment Overview" sheetId="13" state="visible" r:id="rId13"/>
    <sheet xmlns:r="http://schemas.openxmlformats.org/officeDocument/2006/relationships" name="Pool Summary" sheetId="14" state="visible" r:id="rId14"/>
    <sheet xmlns:r="http://schemas.openxmlformats.org/officeDocument/2006/relationships" name="Rating CE" sheetId="15" state="visible" r:id="rId15"/>
    <sheet xmlns:r="http://schemas.openxmlformats.org/officeDocument/2006/relationships" name="Documentation" sheetId="16" state="visible" r:id="rId16"/>
    <sheet xmlns:r="http://schemas.openxmlformats.org/officeDocument/2006/relationships" name="LTV Curve UK" sheetId="17" state="visible" r:id="rId17"/>
    <sheet xmlns:r="http://schemas.openxmlformats.org/officeDocument/2006/relationships" name="LTV Curve Ireland" sheetId="18" state="visible" r:id="rId18"/>
    <sheet xmlns:r="http://schemas.openxmlformats.org/officeDocument/2006/relationships" name="LTV Curve Netherland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</numFmts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5" customWidth="1" min="4" max="4"/>
    <col width="20" customWidth="1" min="5" max="5"/>
  </cols>
  <sheetData>
    <row r="1">
      <c r="A1" s="1" t="inlineStr">
        <is>
          <t>FORECLOSURE FREQUENCY ADJUSTMENT PARAMETERS</t>
        </is>
      </c>
    </row>
    <row r="2">
      <c r="A2" s="11" t="inlineStr">
        <is>
          <t>All S&amp;P Table 73 adjustments - Used by FF Calculations via VLOOKUP</t>
        </is>
      </c>
    </row>
    <row r="4">
      <c r="A4" s="50" t="inlineStr">
        <is>
          <t>INCOME MULTIPLE ADJUSTMENTS</t>
        </is>
      </c>
    </row>
    <row r="5">
      <c r="A5" s="38" t="inlineStr">
        <is>
          <t>Min Multiple</t>
        </is>
      </c>
      <c r="B5" s="38" t="inlineStr">
        <is>
          <t>Max Multiple</t>
        </is>
      </c>
      <c r="C5" s="38" t="inlineStr">
        <is>
          <t>Adjustment</t>
        </is>
      </c>
      <c r="D5" s="38" t="inlineStr">
        <is>
          <t>Notes</t>
        </is>
      </c>
    </row>
    <row r="6">
      <c r="A6" s="51" t="n">
        <v>0</v>
      </c>
      <c r="B6" s="51" t="n">
        <v>3.5</v>
      </c>
      <c r="C6" s="51" t="n">
        <v>1</v>
      </c>
      <c r="D6" s="39" t="inlineStr">
        <is>
          <t>Low income multiple - no adjustment</t>
        </is>
      </c>
    </row>
    <row r="7">
      <c r="A7" s="51" t="n">
        <v>3.5</v>
      </c>
      <c r="B7" s="51" t="n">
        <v>5</v>
      </c>
      <c r="C7" s="51" t="n">
        <v>1.2</v>
      </c>
      <c r="D7" s="39" t="inlineStr">
        <is>
          <t>Moderate stretch - 20% increase</t>
        </is>
      </c>
    </row>
    <row r="8">
      <c r="A8" s="51" t="n">
        <v>5</v>
      </c>
      <c r="B8" s="51" t="n">
        <v>999</v>
      </c>
      <c r="C8" s="51" t="n">
        <v>1.5</v>
      </c>
      <c r="D8" s="39" t="inlineStr">
        <is>
          <t>High stretch - 50% increase</t>
        </is>
      </c>
    </row>
    <row r="10">
      <c r="A10" s="50" t="inlineStr">
        <is>
          <t>BTL DSCR ADJUSTMENTS</t>
        </is>
      </c>
    </row>
    <row r="11">
      <c r="A11" s="38" t="inlineStr">
        <is>
          <t>Min DSCR</t>
        </is>
      </c>
      <c r="B11" s="38" t="inlineStr">
        <is>
          <t>Max DSCR</t>
        </is>
      </c>
      <c r="C11" s="38" t="inlineStr">
        <is>
          <t>Adjustment</t>
        </is>
      </c>
      <c r="D11" s="38" t="inlineStr">
        <is>
          <t>Notes</t>
        </is>
      </c>
    </row>
    <row r="12">
      <c r="A12" s="51" t="n">
        <v>0</v>
      </c>
      <c r="B12" s="51" t="n">
        <v>1</v>
      </c>
      <c r="C12" s="51" t="n">
        <v>1.55</v>
      </c>
      <c r="D12" s="39" t="inlineStr">
        <is>
          <t>DSCR &lt; 1.0 - highest risk</t>
        </is>
      </c>
    </row>
    <row r="13">
      <c r="A13" s="51" t="n">
        <v>1</v>
      </c>
      <c r="B13" s="51" t="n">
        <v>1.2</v>
      </c>
      <c r="C13" s="51" t="n">
        <v>1.45</v>
      </c>
      <c r="D13" s="39" t="inlineStr">
        <is>
          <t>DSCR 1.0-1.2 - marginal coverage</t>
        </is>
      </c>
    </row>
    <row r="14">
      <c r="A14" s="51" t="n">
        <v>1.2</v>
      </c>
      <c r="B14" s="51" t="n">
        <v>1.35</v>
      </c>
      <c r="C14" s="51" t="n">
        <v>1.35</v>
      </c>
      <c r="D14" s="39" t="inlineStr">
        <is>
          <t>DSCR 1.2-1.35 - adequate coverage</t>
        </is>
      </c>
    </row>
    <row r="15">
      <c r="A15" s="51" t="n">
        <v>1.35</v>
      </c>
      <c r="B15" s="51" t="n">
        <v>999</v>
      </c>
      <c r="C15" s="51" t="n">
        <v>1.25</v>
      </c>
      <c r="D15" s="39" t="inlineStr">
        <is>
          <t>DSCR &gt; 1.35 - strong coverage</t>
        </is>
      </c>
    </row>
    <row r="17">
      <c r="A17" s="50" t="inlineStr">
        <is>
          <t>LIEN POSITION ADJUSTMENTS</t>
        </is>
      </c>
    </row>
    <row r="18">
      <c r="A18" s="38" t="inlineStr">
        <is>
          <t>Lien Position</t>
        </is>
      </c>
      <c r="B18" s="38" t="inlineStr">
        <is>
          <t>Adjustment</t>
        </is>
      </c>
      <c r="C18" s="38" t="inlineStr">
        <is>
          <t>Notes</t>
        </is>
      </c>
    </row>
    <row r="19">
      <c r="A19" s="39" t="inlineStr">
        <is>
          <t>First</t>
        </is>
      </c>
      <c r="B19" s="51" t="n">
        <v>1</v>
      </c>
      <c r="C19" s="39" t="inlineStr">
        <is>
          <t>First lien - baseline</t>
        </is>
      </c>
    </row>
    <row r="20">
      <c r="A20" s="39" t="inlineStr">
        <is>
          <t>Second</t>
        </is>
      </c>
      <c r="B20" s="51" t="n">
        <v>1.5</v>
      </c>
      <c r="C20" s="39" t="inlineStr">
        <is>
          <t>Second lien - 50% increase</t>
        </is>
      </c>
    </row>
    <row r="21">
      <c r="A21" s="39" t="inlineStr">
        <is>
          <t>Third</t>
        </is>
      </c>
      <c r="B21" s="51" t="n">
        <v>1.7</v>
      </c>
      <c r="C21" s="39" t="inlineStr">
        <is>
          <t>Third+ lien - 70% increase</t>
        </is>
      </c>
    </row>
    <row r="23">
      <c r="A23" s="50" t="inlineStr">
        <is>
          <t>ARREARS ADJUSTMENTS</t>
        </is>
      </c>
    </row>
    <row r="24">
      <c r="A24" s="38" t="inlineStr">
        <is>
          <t>Min Months</t>
        </is>
      </c>
      <c r="B24" s="38" t="inlineStr">
        <is>
          <t>Max Months</t>
        </is>
      </c>
      <c r="C24" s="38" t="inlineStr">
        <is>
          <t>Adjustment</t>
        </is>
      </c>
      <c r="D24" s="38" t="inlineStr">
        <is>
          <t>Notes</t>
        </is>
      </c>
    </row>
    <row r="25">
      <c r="A25" s="52" t="n">
        <v>0</v>
      </c>
      <c r="B25" s="52" t="n">
        <v>0</v>
      </c>
      <c r="C25" s="51" t="n">
        <v>1</v>
      </c>
      <c r="D25" s="39" t="inlineStr">
        <is>
          <t>Current - no arrears</t>
        </is>
      </c>
    </row>
    <row r="26">
      <c r="A26" s="52" t="n">
        <v>1</v>
      </c>
      <c r="B26" s="52" t="n">
        <v>1</v>
      </c>
      <c r="C26" s="51" t="n">
        <v>2.5</v>
      </c>
      <c r="D26" s="39" t="inlineStr">
        <is>
          <t>1 month - moderate risk</t>
        </is>
      </c>
    </row>
    <row r="27">
      <c r="A27" s="52" t="n">
        <v>2</v>
      </c>
      <c r="B27" s="52" t="n">
        <v>2</v>
      </c>
      <c r="C27" s="51" t="n">
        <v>5</v>
      </c>
      <c r="D27" s="39" t="inlineStr">
        <is>
          <t>2 months - high risk</t>
        </is>
      </c>
    </row>
    <row r="28">
      <c r="A28" s="52" t="n">
        <v>3</v>
      </c>
      <c r="B28" s="52" t="n">
        <v>999</v>
      </c>
      <c r="C28" s="51" t="n">
        <v>100</v>
      </c>
      <c r="D28" s="39" t="inlineStr">
        <is>
          <t>3+ months - exclude from pool</t>
        </is>
      </c>
    </row>
    <row r="30">
      <c r="A30" s="50" t="inlineStr">
        <is>
          <t>SEASONING CREDITS (PERFORMING ONLY)</t>
        </is>
      </c>
    </row>
    <row r="31">
      <c r="A31" s="38" t="inlineStr">
        <is>
          <t>Min Years</t>
        </is>
      </c>
      <c r="B31" s="38" t="inlineStr">
        <is>
          <t>Max Years</t>
        </is>
      </c>
      <c r="C31" s="38" t="inlineStr">
        <is>
          <t>Adjustment</t>
        </is>
      </c>
      <c r="D31" s="38" t="inlineStr">
        <is>
          <t>Notes</t>
        </is>
      </c>
    </row>
    <row r="32">
      <c r="A32" s="51" t="n">
        <v>0</v>
      </c>
      <c r="B32" s="51" t="n">
        <v>5</v>
      </c>
      <c r="C32" s="51" t="n">
        <v>1</v>
      </c>
      <c r="D32" s="39" t="inlineStr">
        <is>
          <t>0-5 years - no credit</t>
        </is>
      </c>
    </row>
    <row r="33">
      <c r="A33" s="51" t="n">
        <v>5</v>
      </c>
      <c r="B33" s="51" t="n">
        <v>6</v>
      </c>
      <c r="C33" s="51" t="n">
        <v>0.75</v>
      </c>
      <c r="D33" s="39" t="inlineStr">
        <is>
          <t>5-6 years - 25% credit</t>
        </is>
      </c>
    </row>
    <row r="34">
      <c r="A34" s="51" t="n">
        <v>6</v>
      </c>
      <c r="B34" s="51" t="n">
        <v>7</v>
      </c>
      <c r="C34" s="51" t="n">
        <v>0.7</v>
      </c>
      <c r="D34" s="39" t="inlineStr">
        <is>
          <t>6-7 years - 30% credit</t>
        </is>
      </c>
    </row>
    <row r="35">
      <c r="A35" s="51" t="n">
        <v>7</v>
      </c>
      <c r="B35" s="51" t="n">
        <v>8</v>
      </c>
      <c r="C35" s="51" t="n">
        <v>0.65</v>
      </c>
      <c r="D35" s="39" t="inlineStr">
        <is>
          <t>7-8 years - 35% credit</t>
        </is>
      </c>
    </row>
    <row r="36">
      <c r="A36" s="51" t="n">
        <v>8</v>
      </c>
      <c r="B36" s="51" t="n">
        <v>9</v>
      </c>
      <c r="C36" s="51" t="n">
        <v>0.6</v>
      </c>
      <c r="D36" s="39" t="inlineStr">
        <is>
          <t>8-9 years - 40% credit</t>
        </is>
      </c>
    </row>
    <row r="37">
      <c r="A37" s="51" t="n">
        <v>9</v>
      </c>
      <c r="B37" s="51" t="n">
        <v>10</v>
      </c>
      <c r="C37" s="51" t="n">
        <v>0.55</v>
      </c>
      <c r="D37" s="39" t="inlineStr">
        <is>
          <t>9-10 years - 45% credit</t>
        </is>
      </c>
    </row>
    <row r="38">
      <c r="A38" s="51" t="n">
        <v>10</v>
      </c>
      <c r="B38" s="51" t="n">
        <v>999</v>
      </c>
      <c r="C38" s="51" t="n">
        <v>0.5</v>
      </c>
      <c r="D38" s="39" t="inlineStr">
        <is>
          <t>10+ years - 50% credit</t>
        </is>
      </c>
    </row>
    <row r="40">
      <c r="A40" s="50" t="inlineStr">
        <is>
          <t>INTEREST ONLY ADJUSTMENTS (NON-BTL)</t>
        </is>
      </c>
    </row>
    <row r="41">
      <c r="A41" s="38" t="inlineStr">
        <is>
          <t>Min Years to Mat</t>
        </is>
      </c>
      <c r="B41" s="38" t="inlineStr">
        <is>
          <t>Max Years to Mat</t>
        </is>
      </c>
      <c r="C41" s="38" t="inlineStr">
        <is>
          <t>Adjustment</t>
        </is>
      </c>
      <c r="D41" s="38" t="inlineStr">
        <is>
          <t>Notes</t>
        </is>
      </c>
    </row>
    <row r="42">
      <c r="A42" s="51" t="n">
        <v>0</v>
      </c>
      <c r="B42" s="51" t="n">
        <v>5</v>
      </c>
      <c r="C42" s="51" t="n">
        <v>1.25</v>
      </c>
      <c r="D42" s="39" t="inlineStr">
        <is>
          <t>&lt;5 years - highest risk</t>
        </is>
      </c>
    </row>
    <row r="43">
      <c r="A43" s="51" t="n">
        <v>5</v>
      </c>
      <c r="B43" s="51" t="n">
        <v>15</v>
      </c>
      <c r="C43" s="51" t="n">
        <v>1.25</v>
      </c>
      <c r="D43" s="39" t="inlineStr">
        <is>
          <t>5-15 years - high risk</t>
        </is>
      </c>
    </row>
    <row r="44">
      <c r="A44" s="51" t="n">
        <v>15</v>
      </c>
      <c r="B44" s="51" t="n">
        <v>25</v>
      </c>
      <c r="C44" s="51" t="n">
        <v>1.2</v>
      </c>
      <c r="D44" s="39" t="inlineStr">
        <is>
          <t>15-25 years - moderate risk</t>
        </is>
      </c>
    </row>
    <row r="45">
      <c r="A45" s="51" t="n">
        <v>25</v>
      </c>
      <c r="B45" s="51" t="n">
        <v>999</v>
      </c>
      <c r="C45" s="51" t="n">
        <v>1.1</v>
      </c>
      <c r="D45" s="39" t="inlineStr">
        <is>
          <t>&gt;25 years - lower risk</t>
        </is>
      </c>
    </row>
    <row r="47">
      <c r="A47" s="50" t="inlineStr">
        <is>
          <t>CCJ COUNT ADJUSTMENTS</t>
        </is>
      </c>
    </row>
    <row r="48">
      <c r="A48" s="38" t="inlineStr">
        <is>
          <t>CCJ Count</t>
        </is>
      </c>
      <c r="B48" s="38" t="inlineStr">
        <is>
          <t>Recent (&lt;1yr)</t>
        </is>
      </c>
      <c r="C48" s="38" t="inlineStr">
        <is>
          <t>Not Recent (&gt;1yr)</t>
        </is>
      </c>
      <c r="D48" s="38" t="inlineStr">
        <is>
          <t>Over 6 Years</t>
        </is>
      </c>
      <c r="E48" s="38" t="inlineStr">
        <is>
          <t>Notes</t>
        </is>
      </c>
    </row>
    <row r="49">
      <c r="A49" s="52" t="n">
        <v>0</v>
      </c>
      <c r="B49" s="53" t="n">
        <v>1</v>
      </c>
      <c r="C49" s="53" t="n">
        <v>1</v>
      </c>
      <c r="D49" s="53" t="n">
        <v>1</v>
      </c>
      <c r="E49" s="39" t="inlineStr">
        <is>
          <t>No CCJs</t>
        </is>
      </c>
    </row>
    <row r="50">
      <c r="A50" s="52" t="n">
        <v>1</v>
      </c>
      <c r="B50" s="53" t="n">
        <v>1.1</v>
      </c>
      <c r="C50" s="53" t="n">
        <v>1.075</v>
      </c>
      <c r="D50" s="53" t="n">
        <v>1.075</v>
      </c>
      <c r="E50" s="39" t="inlineStr">
        <is>
          <t>1 CCJ</t>
        </is>
      </c>
    </row>
    <row r="51">
      <c r="A51" s="52" t="n">
        <v>2</v>
      </c>
      <c r="B51" s="53" t="n">
        <v>1.5</v>
      </c>
      <c r="C51" s="53" t="n">
        <v>1.375</v>
      </c>
      <c r="D51" s="53" t="n">
        <v>1.075</v>
      </c>
      <c r="E51" s="39" t="inlineStr">
        <is>
          <t>2 CCJs</t>
        </is>
      </c>
    </row>
    <row r="52">
      <c r="A52" s="52" t="n">
        <v>3</v>
      </c>
      <c r="B52" s="53" t="n">
        <v>2.5</v>
      </c>
      <c r="C52" s="53" t="n">
        <v>2.125</v>
      </c>
      <c r="D52" s="53" t="n">
        <v>1.075</v>
      </c>
      <c r="E52" s="39" t="inlineStr">
        <is>
          <t>3 CCJs</t>
        </is>
      </c>
    </row>
    <row r="53">
      <c r="A53" s="52" t="n">
        <v>4</v>
      </c>
      <c r="B53" s="53" t="n">
        <v>3.8</v>
      </c>
      <c r="C53" s="53" t="n">
        <v>3.1</v>
      </c>
      <c r="D53" s="53" t="n">
        <v>1.075</v>
      </c>
      <c r="E53" s="39" t="inlineStr">
        <is>
          <t>4 CCJs</t>
        </is>
      </c>
    </row>
    <row r="54">
      <c r="A54" s="52" t="n">
        <v>5</v>
      </c>
      <c r="B54" s="53" t="n">
        <v>4</v>
      </c>
      <c r="C54" s="53" t="n">
        <v>3.25</v>
      </c>
      <c r="D54" s="53" t="n">
        <v>1.075</v>
      </c>
      <c r="E54" s="39" t="inlineStr">
        <is>
          <t>5+ CCJs</t>
        </is>
      </c>
    </row>
    <row r="56">
      <c r="A56" s="50" t="inlineStr">
        <is>
          <t>CCJ VALUE OVERRIDES</t>
        </is>
      </c>
    </row>
    <row r="57">
      <c r="A57" s="38" t="inlineStr">
        <is>
          <t>Min Value</t>
        </is>
      </c>
      <c r="B57" s="38" t="inlineStr">
        <is>
          <t>Max Value</t>
        </is>
      </c>
      <c r="C57" s="38" t="inlineStr">
        <is>
          <t>Min Adjustment</t>
        </is>
      </c>
      <c r="D57" s="38" t="inlineStr">
        <is>
          <t>Notes</t>
        </is>
      </c>
    </row>
    <row r="58">
      <c r="A58" s="43" t="n">
        <v>0</v>
      </c>
      <c r="B58" s="43" t="n">
        <v>5000</v>
      </c>
      <c r="C58" s="51" t="n">
        <v>0</v>
      </c>
      <c r="D58" s="39" t="inlineStr">
        <is>
          <t>Use count-based adjustment</t>
        </is>
      </c>
    </row>
    <row r="59">
      <c r="A59" s="43" t="n">
        <v>5000</v>
      </c>
      <c r="B59" s="43" t="n">
        <v>10000</v>
      </c>
      <c r="C59" s="51" t="n">
        <v>2.5</v>
      </c>
      <c r="D59" s="39" t="inlineStr">
        <is>
          <t>Minimum 2.50x for £5k-10k</t>
        </is>
      </c>
    </row>
    <row r="60">
      <c r="A60" s="43" t="n">
        <v>10000</v>
      </c>
      <c r="B60" s="43" t="n">
        <v>999999</v>
      </c>
      <c r="C60" s="51" t="n">
        <v>4</v>
      </c>
      <c r="D60" s="39" t="inlineStr">
        <is>
          <t>Minimum 4.00x for £10k+</t>
        </is>
      </c>
    </row>
    <row r="62">
      <c r="A62" s="50" t="inlineStr">
        <is>
          <t>SELF-CERTIFICATION TIME DECAY (NON-BTL PERFORMING)</t>
        </is>
      </c>
    </row>
    <row r="63">
      <c r="A63" s="38" t="inlineStr">
        <is>
          <t>Min Months</t>
        </is>
      </c>
      <c r="B63" s="38" t="inlineStr">
        <is>
          <t>Max Months</t>
        </is>
      </c>
      <c r="C63" s="38" t="inlineStr">
        <is>
          <t>Decay Factor</t>
        </is>
      </c>
      <c r="D63" s="38" t="inlineStr">
        <is>
          <t>Formula: 1 + (0.50 × Decay)</t>
        </is>
      </c>
    </row>
    <row r="64">
      <c r="A64" s="52" t="n">
        <v>0</v>
      </c>
      <c r="B64" s="52" t="n">
        <v>12</v>
      </c>
      <c r="C64" s="51" t="n">
        <v>1</v>
      </c>
      <c r="D64" s="39" t="inlineStr">
        <is>
          <t>Full 1.50x adjustment</t>
        </is>
      </c>
    </row>
    <row r="65">
      <c r="A65" s="52" t="n">
        <v>12</v>
      </c>
      <c r="B65" s="52" t="n">
        <v>24</v>
      </c>
      <c r="C65" s="51" t="n">
        <v>0.85</v>
      </c>
      <c r="D65" s="39" t="inlineStr">
        <is>
          <t>1.425x adjustment</t>
        </is>
      </c>
    </row>
    <row r="66">
      <c r="A66" s="52" t="n">
        <v>24</v>
      </c>
      <c r="B66" s="52" t="n">
        <v>36</v>
      </c>
      <c r="C66" s="51" t="n">
        <v>0.8</v>
      </c>
      <c r="D66" s="39" t="inlineStr">
        <is>
          <t>1.40x adjustment</t>
        </is>
      </c>
    </row>
    <row r="67">
      <c r="A67" s="52" t="n">
        <v>36</v>
      </c>
      <c r="B67" s="52" t="n">
        <v>48</v>
      </c>
      <c r="C67" s="51" t="n">
        <v>0.55</v>
      </c>
      <c r="D67" s="39" t="inlineStr">
        <is>
          <t>1.275x adjustment</t>
        </is>
      </c>
    </row>
    <row r="68">
      <c r="A68" s="52" t="n">
        <v>48</v>
      </c>
      <c r="B68" s="52" t="n">
        <v>60</v>
      </c>
      <c r="C68" s="51" t="n">
        <v>0.35</v>
      </c>
      <c r="D68" s="39" t="inlineStr">
        <is>
          <t>1.175x adjustment</t>
        </is>
      </c>
    </row>
    <row r="69">
      <c r="A69" s="52" t="n">
        <v>60</v>
      </c>
      <c r="B69" s="52" t="n">
        <v>72</v>
      </c>
      <c r="C69" s="51" t="n">
        <v>0.15</v>
      </c>
      <c r="D69" s="39" t="inlineStr">
        <is>
          <t>1.075x adjustment</t>
        </is>
      </c>
    </row>
    <row r="70">
      <c r="A70" s="52" t="n">
        <v>72</v>
      </c>
      <c r="B70" s="52" t="n">
        <v>999</v>
      </c>
      <c r="C70" s="51" t="n">
        <v>0</v>
      </c>
      <c r="D70" s="39" t="inlineStr">
        <is>
          <t>No adjustment</t>
        </is>
      </c>
    </row>
    <row r="72">
      <c r="A72" s="50" t="inlineStr">
        <is>
          <t>REPERFORMING ADJUSTMENTS</t>
        </is>
      </c>
    </row>
    <row r="73">
      <c r="A73" s="38" t="inlineStr">
        <is>
          <t>Min Months Since</t>
        </is>
      </c>
      <c r="B73" s="38" t="inlineStr">
        <is>
          <t>Max Months Since</t>
        </is>
      </c>
      <c r="C73" s="38" t="inlineStr">
        <is>
          <t>Adjustment</t>
        </is>
      </c>
      <c r="D73" s="38" t="inlineStr">
        <is>
          <t>Notes</t>
        </is>
      </c>
    </row>
    <row r="74">
      <c r="A74" s="52" t="n">
        <v>0</v>
      </c>
      <c r="B74" s="52" t="n">
        <v>12</v>
      </c>
      <c r="C74" s="51" t="n">
        <v>2</v>
      </c>
      <c r="D74" s="39" t="inlineStr">
        <is>
          <t>&lt;12 months - very high risk</t>
        </is>
      </c>
    </row>
    <row r="75">
      <c r="A75" s="52" t="n">
        <v>12</v>
      </c>
      <c r="B75" s="52" t="n">
        <v>24</v>
      </c>
      <c r="C75" s="51" t="n">
        <v>1.5</v>
      </c>
      <c r="D75" s="39" t="inlineStr">
        <is>
          <t>12-24 months - high risk</t>
        </is>
      </c>
    </row>
    <row r="76">
      <c r="A76" s="52" t="n">
        <v>24</v>
      </c>
      <c r="B76" s="52" t="n">
        <v>36</v>
      </c>
      <c r="C76" s="51" t="n">
        <v>1.2</v>
      </c>
      <c r="D76" s="39" t="inlineStr">
        <is>
          <t>24-36 months - moderate risk</t>
        </is>
      </c>
    </row>
    <row r="77">
      <c r="A77" s="52" t="n">
        <v>36</v>
      </c>
      <c r="B77" s="52" t="n">
        <v>999</v>
      </c>
      <c r="C77" s="51" t="n">
        <v>1</v>
      </c>
      <c r="D77" s="39" t="inlineStr">
        <is>
          <t>&gt;36 months - normalized</t>
        </is>
      </c>
    </row>
    <row r="79">
      <c r="A79" s="50" t="inlineStr">
        <is>
          <t>SIMPLE PRODUCT ADJUSTMENTS</t>
        </is>
      </c>
    </row>
    <row r="80">
      <c r="A80" s="38" t="inlineStr">
        <is>
          <t>Feature</t>
        </is>
      </c>
      <c r="B80" s="38" t="inlineStr">
        <is>
          <t>Adjustment</t>
        </is>
      </c>
      <c r="C80" s="38" t="inlineStr">
        <is>
          <t>Notes</t>
        </is>
      </c>
    </row>
    <row r="81">
      <c r="A81" s="39" t="inlineStr">
        <is>
          <t>Loan Purpose: Cash-out</t>
        </is>
      </c>
      <c r="B81" s="51" t="n">
        <v>1.2</v>
      </c>
      <c r="C81" s="39" t="inlineStr">
        <is>
          <t>First lien only</t>
        </is>
      </c>
    </row>
    <row r="82">
      <c r="A82" s="39" t="inlineStr">
        <is>
          <t>First Time Buyer</t>
        </is>
      </c>
      <c r="B82" s="51" t="n">
        <v>1.1</v>
      </c>
      <c r="C82" s="39" t="inlineStr">
        <is>
          <t>Non-BTL, non-HTB, ≤18 months</t>
        </is>
      </c>
    </row>
    <row r="83">
      <c r="A83" s="39" t="inlineStr">
        <is>
          <t>Help to Buy</t>
        </is>
      </c>
      <c r="B83" s="51" t="n">
        <v>1.35</v>
      </c>
      <c r="C83" s="39" t="inlineStr">
        <is>
          <t>Excludes FTB &amp; Payment Shock</t>
        </is>
      </c>
    </row>
    <row r="84">
      <c r="A84" s="39" t="inlineStr">
        <is>
          <t>Shared Ownership</t>
        </is>
      </c>
      <c r="B84" s="51" t="n">
        <v>1.2</v>
      </c>
      <c r="C84" s="39" t="inlineStr">
        <is>
          <t>All loans</t>
        </is>
      </c>
    </row>
    <row r="85">
      <c r="A85" s="39" t="inlineStr">
        <is>
          <t>Right to Buy</t>
        </is>
      </c>
      <c r="B85" s="51" t="n">
        <v>1.05</v>
      </c>
      <c r="C85" s="39" t="inlineStr">
        <is>
          <t>All loans</t>
        </is>
      </c>
    </row>
    <row r="86">
      <c r="A86" s="39" t="inlineStr">
        <is>
          <t>Payment Shock</t>
        </is>
      </c>
      <c r="B86" s="51" t="n">
        <v>1.1</v>
      </c>
      <c r="C86" s="39" t="inlineStr">
        <is>
          <t>Non-HTB only</t>
        </is>
      </c>
    </row>
    <row r="87">
      <c r="A87" s="39" t="inlineStr">
        <is>
          <t>Self-Employed</t>
        </is>
      </c>
      <c r="B87" s="51" t="n">
        <v>1.15</v>
      </c>
      <c r="C87" s="39" t="inlineStr">
        <is>
          <t>Non-BTL only</t>
        </is>
      </c>
    </row>
    <row r="88">
      <c r="A88" s="39" t="inlineStr">
        <is>
          <t>Commercial Property</t>
        </is>
      </c>
      <c r="B88" s="51" t="n">
        <v>1.85</v>
      </c>
      <c r="C88" s="39" t="inlineStr">
        <is>
          <t>All loans</t>
        </is>
      </c>
    </row>
    <row r="89">
      <c r="A89" s="39" t="inlineStr">
        <is>
          <t>BTL (No Rental Info)</t>
        </is>
      </c>
      <c r="B89" s="51" t="n">
        <v>1.7</v>
      </c>
      <c r="C89" s="39" t="inlineStr">
        <is>
          <t>DSCR cannot be calculated</t>
        </is>
      </c>
    </row>
  </sheetData>
  <mergeCells count="13">
    <mergeCell ref="A2:F2"/>
    <mergeCell ref="A40:D40"/>
    <mergeCell ref="A56:D56"/>
    <mergeCell ref="A23:D23"/>
    <mergeCell ref="A4:D4"/>
    <mergeCell ref="A1:F1"/>
    <mergeCell ref="A62:D62"/>
    <mergeCell ref="A30:D30"/>
    <mergeCell ref="A79:C79"/>
    <mergeCell ref="A17:C17"/>
    <mergeCell ref="A72:D72"/>
    <mergeCell ref="A47:E47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20" customWidth="1" min="4" max="4"/>
  </cols>
  <sheetData>
    <row r="1">
      <c r="A1" s="1" t="inlineStr">
        <is>
          <t>FF ADJUSTMENT MULTIPLIERS - ALL VALUES</t>
        </is>
      </c>
    </row>
    <row r="2">
      <c r="A2" s="11" t="inlineStr">
        <is>
          <t>Complete parameter table for all FF adjustments - NO HARDCODING</t>
        </is>
      </c>
    </row>
    <row r="4">
      <c r="A4" s="37" t="inlineStr">
        <is>
          <t>INCOME MULTIPLE ADJUSTMENTS</t>
        </is>
      </c>
    </row>
    <row r="5">
      <c r="A5" s="38" t="inlineStr">
        <is>
          <t>Multiple Range</t>
        </is>
      </c>
      <c r="B5" s="38" t="inlineStr">
        <is>
          <t>Multiplier</t>
        </is>
      </c>
      <c r="C5" s="38" t="inlineStr">
        <is>
          <t>Description</t>
        </is>
      </c>
    </row>
    <row r="6">
      <c r="A6" s="39" t="inlineStr">
        <is>
          <t>&lt;=3.5 (or &lt;=2.75 joint)</t>
        </is>
      </c>
      <c r="B6" s="51" t="n">
        <v>1</v>
      </c>
      <c r="C6" s="39" t="inlineStr">
        <is>
          <t>Low risk</t>
        </is>
      </c>
    </row>
    <row r="7">
      <c r="A7" s="39" t="inlineStr">
        <is>
          <t>&gt;3.5 to 5.0 (or &gt;2.75 to 3.25 joint)</t>
        </is>
      </c>
      <c r="B7" s="51" t="n">
        <v>1.2</v>
      </c>
      <c r="C7" s="39" t="inlineStr">
        <is>
          <t>Medium risk</t>
        </is>
      </c>
    </row>
    <row r="8">
      <c r="A8" s="39" t="inlineStr">
        <is>
          <t>&gt;5.0 (or &gt;3.25 joint)</t>
        </is>
      </c>
      <c r="B8" s="51" t="n">
        <v>1.5</v>
      </c>
      <c r="C8" s="39" t="inlineStr">
        <is>
          <t>High risk</t>
        </is>
      </c>
    </row>
    <row r="10">
      <c r="A10" s="37" t="inlineStr">
        <is>
          <t>BTL DSCR ADJUSTMENTS</t>
        </is>
      </c>
    </row>
    <row r="11">
      <c r="A11" s="38" t="inlineStr">
        <is>
          <t>DSCR Range</t>
        </is>
      </c>
      <c r="B11" s="38" t="inlineStr">
        <is>
          <t>Multiplier</t>
        </is>
      </c>
      <c r="C11" s="38" t="inlineStr">
        <is>
          <t>Description</t>
        </is>
      </c>
    </row>
    <row r="12">
      <c r="A12" s="39" t="inlineStr">
        <is>
          <t>No rental (=0)</t>
        </is>
      </c>
      <c r="B12" s="51" t="n">
        <v>1.7</v>
      </c>
      <c r="C12" s="39" t="inlineStr">
        <is>
          <t>No income verification</t>
        </is>
      </c>
    </row>
    <row r="13">
      <c r="A13" s="39" t="inlineStr">
        <is>
          <t>&lt;1.00</t>
        </is>
      </c>
      <c r="B13" s="51" t="n">
        <v>1.55</v>
      </c>
      <c r="C13" s="39" t="inlineStr">
        <is>
          <t>Inadequate coverage</t>
        </is>
      </c>
    </row>
    <row r="14">
      <c r="A14" s="39" t="inlineStr">
        <is>
          <t>1.00 to &lt;1.20</t>
        </is>
      </c>
      <c r="B14" s="51" t="n">
        <v>1.45</v>
      </c>
      <c r="C14" s="39" t="inlineStr">
        <is>
          <t>Minimal coverage</t>
        </is>
      </c>
    </row>
    <row r="15">
      <c r="A15" s="39" t="inlineStr">
        <is>
          <t>1.20 to &lt;1.35</t>
        </is>
      </c>
      <c r="B15" s="51" t="n">
        <v>1.35</v>
      </c>
      <c r="C15" s="39" t="inlineStr">
        <is>
          <t>Adequate coverage</t>
        </is>
      </c>
    </row>
    <row r="16">
      <c r="A16" s="39" t="inlineStr">
        <is>
          <t>&gt;=1.35</t>
        </is>
      </c>
      <c r="B16" s="51" t="n">
        <v>1.25</v>
      </c>
      <c r="C16" s="39" t="inlineStr">
        <is>
          <t>Strong coverage</t>
        </is>
      </c>
    </row>
    <row r="18">
      <c r="A18" s="37" t="inlineStr">
        <is>
          <t>LIEN POSITION ADJUSTMENTS</t>
        </is>
      </c>
    </row>
    <row r="19">
      <c r="A19" s="38" t="inlineStr">
        <is>
          <t>Lien Position</t>
        </is>
      </c>
      <c r="B19" s="38" t="inlineStr">
        <is>
          <t>Multiplier</t>
        </is>
      </c>
      <c r="C19" s="38" t="inlineStr">
        <is>
          <t>Description</t>
        </is>
      </c>
    </row>
    <row r="20">
      <c r="A20" s="39" t="inlineStr">
        <is>
          <t>First</t>
        </is>
      </c>
      <c r="B20" s="51" t="n">
        <v>1</v>
      </c>
      <c r="C20" s="39" t="inlineStr">
        <is>
          <t>First lien baseline</t>
        </is>
      </c>
    </row>
    <row r="21">
      <c r="A21" s="39" t="inlineStr">
        <is>
          <t>Second</t>
        </is>
      </c>
      <c r="B21" s="51" t="n">
        <v>1.5</v>
      </c>
      <c r="C21" s="39" t="inlineStr">
        <is>
          <t>Second lien premium</t>
        </is>
      </c>
    </row>
    <row r="22">
      <c r="A22" s="39" t="inlineStr">
        <is>
          <t>Third+</t>
        </is>
      </c>
      <c r="B22" s="51" t="n">
        <v>1.7</v>
      </c>
      <c r="C22" s="39" t="inlineStr">
        <is>
          <t>Third+ lien high risk</t>
        </is>
      </c>
    </row>
    <row r="24">
      <c r="A24" s="37" t="inlineStr">
        <is>
          <t>LOAN PURPOSE ADJUSTMENTS</t>
        </is>
      </c>
    </row>
    <row r="25">
      <c r="A25" s="38" t="inlineStr">
        <is>
          <t>Purpose</t>
        </is>
      </c>
      <c r="B25" s="38" t="inlineStr">
        <is>
          <t>Multiplier</t>
        </is>
      </c>
      <c r="C25" s="38" t="inlineStr">
        <is>
          <t>Description</t>
        </is>
      </c>
    </row>
    <row r="26">
      <c r="A26" s="39" t="inlineStr">
        <is>
          <t>Purchase</t>
        </is>
      </c>
      <c r="B26" s="51" t="n">
        <v>1</v>
      </c>
      <c r="C26" s="39" t="inlineStr">
        <is>
          <t>Baseline</t>
        </is>
      </c>
    </row>
    <row r="27">
      <c r="A27" s="39" t="inlineStr">
        <is>
          <t>Remortgage</t>
        </is>
      </c>
      <c r="B27" s="51" t="n">
        <v>1</v>
      </c>
      <c r="C27" s="39" t="inlineStr">
        <is>
          <t>No adjustment</t>
        </is>
      </c>
    </row>
    <row r="28">
      <c r="A28" s="39" t="inlineStr">
        <is>
          <t>Cash-out</t>
        </is>
      </c>
      <c r="B28" s="51" t="n">
        <v>1.2</v>
      </c>
      <c r="C28" s="39" t="inlineStr">
        <is>
          <t>Increased risk</t>
        </is>
      </c>
    </row>
    <row r="30">
      <c r="A30" s="37" t="inlineStr">
        <is>
          <t>SEASONING ADJUSTMENTS (PERFORMING ONLY)</t>
        </is>
      </c>
    </row>
    <row r="31">
      <c r="A31" s="38" t="inlineStr">
        <is>
          <t>Years Seasoned</t>
        </is>
      </c>
      <c r="B31" s="38" t="inlineStr">
        <is>
          <t>Multiplier</t>
        </is>
      </c>
      <c r="C31" s="38" t="inlineStr">
        <is>
          <t>Description</t>
        </is>
      </c>
    </row>
    <row r="32">
      <c r="A32" s="39" t="inlineStr">
        <is>
          <t>&lt;5 years</t>
        </is>
      </c>
      <c r="B32" s="51" t="n">
        <v>1</v>
      </c>
      <c r="C32" s="39" t="inlineStr">
        <is>
          <t>No credit</t>
        </is>
      </c>
    </row>
    <row r="33">
      <c r="A33" s="39" t="inlineStr">
        <is>
          <t>5-6 years</t>
        </is>
      </c>
      <c r="B33" s="51" t="n">
        <v>0.75</v>
      </c>
      <c r="C33" s="39" t="inlineStr">
        <is>
          <t>25% credit</t>
        </is>
      </c>
    </row>
    <row r="34">
      <c r="A34" s="39" t="inlineStr">
        <is>
          <t>6-7 years</t>
        </is>
      </c>
      <c r="B34" s="51" t="n">
        <v>0.7</v>
      </c>
      <c r="C34" s="39" t="inlineStr">
        <is>
          <t>30% credit</t>
        </is>
      </c>
    </row>
    <row r="35">
      <c r="A35" s="39" t="inlineStr">
        <is>
          <t>7-8 years</t>
        </is>
      </c>
      <c r="B35" s="51" t="n">
        <v>0.65</v>
      </c>
      <c r="C35" s="39" t="inlineStr">
        <is>
          <t>35% credit</t>
        </is>
      </c>
    </row>
    <row r="36">
      <c r="A36" s="39" t="inlineStr">
        <is>
          <t>8-9 years</t>
        </is>
      </c>
      <c r="B36" s="51" t="n">
        <v>0.6</v>
      </c>
      <c r="C36" s="39" t="inlineStr">
        <is>
          <t>40% credit</t>
        </is>
      </c>
    </row>
    <row r="37">
      <c r="A37" s="39" t="inlineStr">
        <is>
          <t>9-10 years</t>
        </is>
      </c>
      <c r="B37" s="51" t="n">
        <v>0.55</v>
      </c>
      <c r="C37" s="39" t="inlineStr">
        <is>
          <t>45% credit</t>
        </is>
      </c>
    </row>
    <row r="38">
      <c r="A38" s="39" t="inlineStr">
        <is>
          <t>&gt;10 years</t>
        </is>
      </c>
      <c r="B38" s="51" t="n">
        <v>0.5</v>
      </c>
      <c r="C38" s="39" t="inlineStr">
        <is>
          <t>50% credit</t>
        </is>
      </c>
    </row>
    <row r="40">
      <c r="A40" s="37" t="inlineStr">
        <is>
          <t>PRODUCT FEATURE ADJUSTMENTS</t>
        </is>
      </c>
    </row>
    <row r="41">
      <c r="A41" s="38" t="inlineStr">
        <is>
          <t>Feature</t>
        </is>
      </c>
      <c r="B41" s="38" t="inlineStr">
        <is>
          <t>Multiplier</t>
        </is>
      </c>
      <c r="C41" s="38" t="inlineStr">
        <is>
          <t>Notes</t>
        </is>
      </c>
    </row>
    <row r="42">
      <c r="A42" s="39" t="inlineStr">
        <is>
          <t>First Time Buyer (&lt;18mo)</t>
        </is>
      </c>
      <c r="B42" s="51" t="n">
        <v>1.1</v>
      </c>
      <c r="C42" s="39" t="inlineStr">
        <is>
          <t>Seasoning &lt;18 months only</t>
        </is>
      </c>
    </row>
    <row r="43">
      <c r="A43" s="39" t="inlineStr">
        <is>
          <t>Help to Buy</t>
        </is>
      </c>
      <c r="B43" s="51" t="n">
        <v>1.35</v>
      </c>
      <c r="C43" s="39" t="inlineStr">
        <is>
          <t>Excludes FTB and Payment Shock</t>
        </is>
      </c>
    </row>
    <row r="44">
      <c r="A44" s="39" t="inlineStr">
        <is>
          <t>Shared Ownership</t>
        </is>
      </c>
      <c r="B44" s="51" t="n">
        <v>1.2</v>
      </c>
      <c r="C44" s="39" t="inlineStr">
        <is>
          <t>Partial ownership risk</t>
        </is>
      </c>
    </row>
    <row r="45">
      <c r="A45" s="39" t="inlineStr">
        <is>
          <t>Right to Buy</t>
        </is>
      </c>
      <c r="B45" s="51" t="n">
        <v>1.05</v>
      </c>
      <c r="C45" s="39" t="inlineStr">
        <is>
          <t>Ex-council property</t>
        </is>
      </c>
    </row>
    <row r="46">
      <c r="A46" s="39" t="inlineStr">
        <is>
          <t>Payment Shock</t>
        </is>
      </c>
      <c r="B46" s="51" t="n">
        <v>1.1</v>
      </c>
      <c r="C46" s="39" t="inlineStr">
        <is>
          <t>Rate increase risk</t>
        </is>
      </c>
    </row>
    <row r="47">
      <c r="A47" s="39" t="inlineStr">
        <is>
          <t>Commercial Property</t>
        </is>
      </c>
      <c r="B47" s="51" t="n">
        <v>1.85</v>
      </c>
      <c r="C47" s="39" t="inlineStr">
        <is>
          <t>Commercial use</t>
        </is>
      </c>
    </row>
    <row r="49">
      <c r="A49" s="37" t="inlineStr">
        <is>
          <t>INTEREST ONLY ADJUSTMENTS (NON-BTL)</t>
        </is>
      </c>
    </row>
    <row r="50">
      <c r="A50" s="38" t="inlineStr">
        <is>
          <t>Years to Maturity</t>
        </is>
      </c>
      <c r="B50" s="38" t="inlineStr">
        <is>
          <t>Multiplier</t>
        </is>
      </c>
      <c r="C50" s="38" t="inlineStr">
        <is>
          <t>Description</t>
        </is>
      </c>
    </row>
    <row r="51">
      <c r="A51" s="39" t="inlineStr">
        <is>
          <t>&gt;25 years</t>
        </is>
      </c>
      <c r="B51" s="51" t="n">
        <v>1.1</v>
      </c>
      <c r="C51" s="39" t="inlineStr">
        <is>
          <t>Long maturity</t>
        </is>
      </c>
    </row>
    <row r="52">
      <c r="A52" s="39" t="inlineStr">
        <is>
          <t>15-25 years</t>
        </is>
      </c>
      <c r="B52" s="51" t="n">
        <v>1.2</v>
      </c>
      <c r="C52" s="39" t="inlineStr">
        <is>
          <t>Medium maturity</t>
        </is>
      </c>
    </row>
    <row r="53">
      <c r="A53" s="39" t="inlineStr">
        <is>
          <t>5-15 years</t>
        </is>
      </c>
      <c r="B53" s="51" t="n">
        <v>1.25</v>
      </c>
      <c r="C53" s="39" t="inlineStr">
        <is>
          <t>Short maturity</t>
        </is>
      </c>
    </row>
    <row r="54">
      <c r="A54" s="39" t="inlineStr">
        <is>
          <t>&lt;5 years</t>
        </is>
      </c>
      <c r="B54" s="51" t="n">
        <v>1.25</v>
      </c>
      <c r="C54" s="39" t="inlineStr">
        <is>
          <t>Very short maturity</t>
        </is>
      </c>
    </row>
    <row r="56">
      <c r="A56" s="37" t="inlineStr">
        <is>
          <t>SELF-EMPLOYMENT (NON-BTL)</t>
        </is>
      </c>
    </row>
    <row r="57">
      <c r="A57" s="38" t="inlineStr">
        <is>
          <t>Status</t>
        </is>
      </c>
      <c r="B57" s="38" t="inlineStr">
        <is>
          <t>Multiplier</t>
        </is>
      </c>
      <c r="C57" s="38" t="inlineStr">
        <is>
          <t>Description</t>
        </is>
      </c>
    </row>
    <row r="58">
      <c r="A58" s="39" t="inlineStr">
        <is>
          <t>Self-Employed</t>
        </is>
      </c>
      <c r="B58" s="51" t="n">
        <v>1.15</v>
      </c>
      <c r="C58" s="39" t="inlineStr">
        <is>
          <t>Income stability risk</t>
        </is>
      </c>
    </row>
    <row r="60">
      <c r="A60" s="37" t="inlineStr">
        <is>
          <t>SELF-CERTIFICATION TIME DECAY (NON-BTL, PERFORMING)</t>
        </is>
      </c>
    </row>
    <row r="61">
      <c r="A61" s="38" t="inlineStr">
        <is>
          <t>Seasoning (months)</t>
        </is>
      </c>
      <c r="B61" s="38" t="inlineStr">
        <is>
          <t>Decay Factor</t>
        </is>
      </c>
      <c r="C61" s="38" t="inlineStr">
        <is>
          <t>Formula: 1 + (0.50 × Factor)</t>
        </is>
      </c>
    </row>
    <row r="62">
      <c r="A62" s="39" t="inlineStr">
        <is>
          <t>0-12</t>
        </is>
      </c>
      <c r="B62" s="51" t="n">
        <v>1</v>
      </c>
      <c r="C62" s="39" t="inlineStr">
        <is>
          <t>Full adjustment (1.50x)</t>
        </is>
      </c>
    </row>
    <row r="63">
      <c r="A63" s="39" t="inlineStr">
        <is>
          <t>13-24</t>
        </is>
      </c>
      <c r="B63" s="51" t="n">
        <v>0.85</v>
      </c>
      <c r="C63" s="39" t="inlineStr">
        <is>
          <t>Slight decay (1.425x)</t>
        </is>
      </c>
    </row>
    <row r="64">
      <c r="A64" s="39" t="inlineStr">
        <is>
          <t>25-36</t>
        </is>
      </c>
      <c r="B64" s="51" t="n">
        <v>0.8</v>
      </c>
      <c r="C64" s="39" t="inlineStr">
        <is>
          <t>Moderate decay (1.40x)</t>
        </is>
      </c>
    </row>
    <row r="65">
      <c r="A65" s="39" t="inlineStr">
        <is>
          <t>37-48</t>
        </is>
      </c>
      <c r="B65" s="51" t="n">
        <v>0.55</v>
      </c>
      <c r="C65" s="39" t="inlineStr">
        <is>
          <t>Significant decay (1.275x)</t>
        </is>
      </c>
    </row>
    <row r="66">
      <c r="A66" s="39" t="inlineStr">
        <is>
          <t>49-60</t>
        </is>
      </c>
      <c r="B66" s="51" t="n">
        <v>0.35</v>
      </c>
      <c r="C66" s="39" t="inlineStr">
        <is>
          <t>Major decay (1.175x)</t>
        </is>
      </c>
    </row>
    <row r="67">
      <c r="A67" s="39" t="inlineStr">
        <is>
          <t>61-72</t>
        </is>
      </c>
      <c r="B67" s="51" t="n">
        <v>0.15</v>
      </c>
      <c r="C67" s="39" t="inlineStr">
        <is>
          <t>Minimal risk (1.075x)</t>
        </is>
      </c>
    </row>
    <row r="68">
      <c r="A68" s="39" t="inlineStr">
        <is>
          <t>&gt;72</t>
        </is>
      </c>
      <c r="B68" s="51" t="n">
        <v>0</v>
      </c>
      <c r="C68" s="39" t="inlineStr">
        <is>
          <t>No adjustment (1.00x)</t>
        </is>
      </c>
    </row>
    <row r="70">
      <c r="A70" s="37" t="inlineStr">
        <is>
          <t>CCJ ADJUSTMENTS (COUNT-BASED)</t>
        </is>
      </c>
    </row>
    <row r="71">
      <c r="A71" s="38" t="inlineStr">
        <is>
          <t>CCJ Count</t>
        </is>
      </c>
      <c r="B71" s="38" t="inlineStr">
        <is>
          <t>&lt;12mo Mult</t>
        </is>
      </c>
      <c r="C71" s="38" t="inlineStr">
        <is>
          <t>&gt;12mo Mult</t>
        </is>
      </c>
      <c r="D71" s="38" t="inlineStr">
        <is>
          <t>Notes</t>
        </is>
      </c>
    </row>
    <row r="72">
      <c r="A72" s="39" t="inlineStr">
        <is>
          <t>1</t>
        </is>
      </c>
      <c r="B72" s="53" t="n">
        <v>1.1</v>
      </c>
      <c r="C72" s="53" t="n">
        <v>1.075</v>
      </c>
      <c r="D72" s="39" t="inlineStr">
        <is>
          <t>Single CCJ</t>
        </is>
      </c>
    </row>
    <row r="73">
      <c r="A73" s="39" t="inlineStr">
        <is>
          <t>2</t>
        </is>
      </c>
      <c r="B73" s="53" t="n">
        <v>1.5</v>
      </c>
      <c r="C73" s="53" t="n">
        <v>1.375</v>
      </c>
      <c r="D73" s="39" t="inlineStr">
        <is>
          <t>Two CCJs</t>
        </is>
      </c>
    </row>
    <row r="74">
      <c r="A74" s="39" t="inlineStr">
        <is>
          <t>3</t>
        </is>
      </c>
      <c r="B74" s="53" t="n">
        <v>2.5</v>
      </c>
      <c r="C74" s="53" t="n">
        <v>2.125</v>
      </c>
      <c r="D74" s="39" t="inlineStr">
        <is>
          <t>Three CCJs</t>
        </is>
      </c>
    </row>
    <row r="75">
      <c r="A75" s="39" t="inlineStr">
        <is>
          <t>4</t>
        </is>
      </c>
      <c r="B75" s="53" t="n">
        <v>3.8</v>
      </c>
      <c r="C75" s="53" t="n">
        <v>3.1</v>
      </c>
      <c r="D75" s="39" t="inlineStr">
        <is>
          <t>Four CCJs</t>
        </is>
      </c>
    </row>
    <row r="76">
      <c r="A76" s="39" t="inlineStr">
        <is>
          <t>5+</t>
        </is>
      </c>
      <c r="B76" s="53" t="n">
        <v>4</v>
      </c>
      <c r="C76" s="53" t="n">
        <v>3.25</v>
      </c>
      <c r="D76" s="39" t="inlineStr">
        <is>
          <t>Five or more</t>
        </is>
      </c>
    </row>
    <row r="78">
      <c r="A78" s="37" t="inlineStr">
        <is>
          <t>CCJ VALUE OVERRIDES</t>
        </is>
      </c>
    </row>
    <row r="79">
      <c r="A79" s="38" t="inlineStr">
        <is>
          <t>CCJ Value</t>
        </is>
      </c>
      <c r="B79" s="38" t="inlineStr">
        <is>
          <t>Min Multiplier</t>
        </is>
      </c>
      <c r="C79" s="38" t="inlineStr">
        <is>
          <t>Description</t>
        </is>
      </c>
    </row>
    <row r="80">
      <c r="A80" s="39" t="inlineStr">
        <is>
          <t>&gt;=£10,000</t>
        </is>
      </c>
      <c r="B80" s="51" t="n">
        <v>4</v>
      </c>
      <c r="C80" s="39" t="inlineStr">
        <is>
          <t>Always apply 4.00x</t>
        </is>
      </c>
    </row>
    <row r="81">
      <c r="A81" s="39" t="inlineStr">
        <is>
          <t>&gt;=£5,000</t>
        </is>
      </c>
      <c r="B81" s="51" t="n">
        <v>2.5</v>
      </c>
      <c r="C81" s="39" t="inlineStr">
        <is>
          <t>Apply MAX(count_adj, 2.50)</t>
        </is>
      </c>
    </row>
    <row r="82">
      <c r="A82" s="39" t="inlineStr">
        <is>
          <t>&lt;£5,000</t>
        </is>
      </c>
      <c r="B82" s="39" t="inlineStr">
        <is>
          <t>N/A</t>
        </is>
      </c>
      <c r="C82" s="39" t="inlineStr">
        <is>
          <t>Use count-based adjustment</t>
        </is>
      </c>
    </row>
    <row r="84">
      <c r="A84" s="37" t="inlineStr">
        <is>
          <t>REPERFORMING ADJUSTMENTS</t>
        </is>
      </c>
    </row>
    <row r="85">
      <c r="A85" s="38" t="inlineStr">
        <is>
          <t>Months Since Reperform</t>
        </is>
      </c>
      <c r="B85" s="38" t="inlineStr">
        <is>
          <t>Multiplier</t>
        </is>
      </c>
      <c r="C85" s="38" t="inlineStr">
        <is>
          <t>Description</t>
        </is>
      </c>
    </row>
    <row r="86">
      <c r="A86" s="39" t="inlineStr">
        <is>
          <t>0-12</t>
        </is>
      </c>
      <c r="B86" s="51" t="n">
        <v>2</v>
      </c>
      <c r="C86" s="39" t="inlineStr">
        <is>
          <t>Recent reperformance</t>
        </is>
      </c>
    </row>
    <row r="87">
      <c r="A87" s="39" t="inlineStr">
        <is>
          <t>13-24</t>
        </is>
      </c>
      <c r="B87" s="51" t="n">
        <v>1.5</v>
      </c>
      <c r="C87" s="39" t="inlineStr">
        <is>
          <t>Medium seasoning</t>
        </is>
      </c>
    </row>
    <row r="88">
      <c r="A88" s="39" t="inlineStr">
        <is>
          <t>25-36</t>
        </is>
      </c>
      <c r="B88" s="51" t="n">
        <v>1.2</v>
      </c>
      <c r="C88" s="39" t="inlineStr">
        <is>
          <t>Well seasoned</t>
        </is>
      </c>
    </row>
    <row r="89">
      <c r="A89" s="39" t="inlineStr">
        <is>
          <t>&gt;36</t>
        </is>
      </c>
      <c r="B89" s="51" t="n">
        <v>1</v>
      </c>
      <c r="C89" s="39" t="inlineStr">
        <is>
          <t>No adjustment</t>
        </is>
      </c>
    </row>
  </sheetData>
  <mergeCells count="14">
    <mergeCell ref="A10:C10"/>
    <mergeCell ref="A60:C60"/>
    <mergeCell ref="A70:D70"/>
    <mergeCell ref="A49:C49"/>
    <mergeCell ref="A2:E2"/>
    <mergeCell ref="A84:C84"/>
    <mergeCell ref="A40:C40"/>
    <mergeCell ref="A18:C18"/>
    <mergeCell ref="A56:C56"/>
    <mergeCell ref="A1:E1"/>
    <mergeCell ref="A78:C78"/>
    <mergeCell ref="A30:C30"/>
    <mergeCell ref="A4:C4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4" max="4"/>
    <col width="20" customWidth="1" min="5" max="5"/>
    <col width="50" customWidth="1" min="6" max="6"/>
  </cols>
  <sheetData>
    <row r="1">
      <c r="A1" s="1" t="inlineStr">
        <is>
          <t>BANK OF ENGLAND TO S&amp;P FIELD MAPPING &amp; CONVERSION</t>
        </is>
      </c>
    </row>
    <row r="2">
      <c r="A2" s="11" t="inlineStr">
        <is>
          <t>Complete PRA110 field mapping with conversion formulas</t>
        </is>
      </c>
    </row>
    <row r="4">
      <c r="A4" s="3" t="inlineStr">
        <is>
          <t>BoE Code</t>
        </is>
      </c>
      <c r="B4" s="3" t="inlineStr">
        <is>
          <t>BoE Field Name</t>
        </is>
      </c>
      <c r="C4" s="3" t="inlineStr">
        <is>
          <t>BoE Value/Code</t>
        </is>
      </c>
      <c r="D4" s="3" t="inlineStr">
        <is>
          <t>S&amp;P Field</t>
        </is>
      </c>
      <c r="E4" s="3" t="inlineStr">
        <is>
          <t>S&amp;P Value</t>
        </is>
      </c>
      <c r="F4" s="3" t="inlineStr">
        <is>
          <t>Conversion Formula</t>
        </is>
      </c>
    </row>
    <row r="5">
      <c r="A5" s="4" t="inlineStr">
        <is>
          <t>BV1</t>
        </is>
      </c>
      <c r="B5" s="4" t="inlineStr">
        <is>
          <t>Loan Identifier</t>
        </is>
      </c>
      <c r="C5" s="4" t="inlineStr">
        <is>
          <t>Direct</t>
        </is>
      </c>
      <c r="D5" s="4" t="inlineStr">
        <is>
          <t>loan_id</t>
        </is>
      </c>
      <c r="E5" s="4" t="inlineStr">
        <is>
          <t>Same</t>
        </is>
      </c>
      <c r="F5" s="4">
        <f>BoE!A[row]</f>
        <v/>
      </c>
    </row>
    <row r="6">
      <c r="A6" s="12" t="inlineStr"/>
      <c r="B6" s="12" t="inlineStr"/>
      <c r="C6" s="12" t="inlineStr"/>
      <c r="D6" s="12" t="inlineStr"/>
      <c r="E6" s="12" t="inlineStr"/>
      <c r="F6" s="12">
        <f>'Loan Tape (BoE)'!A5</f>
        <v/>
      </c>
    </row>
    <row r="7">
      <c r="A7" s="4" t="inlineStr">
        <is>
          <t>BV5</t>
        </is>
      </c>
      <c r="B7" s="4" t="inlineStr">
        <is>
          <t>Current Loan Balance</t>
        </is>
      </c>
      <c r="C7" s="4" t="inlineStr">
        <is>
          <t>Direct</t>
        </is>
      </c>
      <c r="D7" s="4" t="inlineStr">
        <is>
          <t>current_balance</t>
        </is>
      </c>
      <c r="E7" s="4" t="inlineStr">
        <is>
          <t>Same</t>
        </is>
      </c>
      <c r="F7" s="4">
        <f>BoE!B[row]</f>
        <v/>
      </c>
    </row>
    <row r="8">
      <c r="A8" s="4" t="inlineStr">
        <is>
          <t>BV6</t>
        </is>
      </c>
      <c r="B8" s="4" t="inlineStr">
        <is>
          <t>Original Balance</t>
        </is>
      </c>
      <c r="C8" s="4" t="inlineStr">
        <is>
          <t>Direct</t>
        </is>
      </c>
      <c r="D8" s="4" t="inlineStr">
        <is>
          <t>original_balance</t>
        </is>
      </c>
      <c r="E8" s="4" t="inlineStr">
        <is>
          <t>Same</t>
        </is>
      </c>
      <c r="F8" s="4">
        <f>'Loan Tape (BoE)'!B5</f>
        <v/>
      </c>
    </row>
    <row r="9">
      <c r="A9" s="4" t="inlineStr">
        <is>
          <t>BV7</t>
        </is>
      </c>
      <c r="B9" s="4" t="inlineStr">
        <is>
          <t>Current Property Value</t>
        </is>
      </c>
      <c r="C9" s="4" t="inlineStr">
        <is>
          <t>Direct</t>
        </is>
      </c>
      <c r="D9" s="4" t="inlineStr">
        <is>
          <t>property_value_current</t>
        </is>
      </c>
      <c r="E9" s="4" t="inlineStr">
        <is>
          <t>Indexed</t>
        </is>
      </c>
      <c r="F9" s="4">
        <f>'Loan Tape (BoE)'!C5</f>
        <v/>
      </c>
    </row>
    <row r="10">
      <c r="A10" s="4" t="inlineStr">
        <is>
          <t>BV8</t>
        </is>
      </c>
      <c r="B10" s="4" t="inlineStr">
        <is>
          <t>Original Property Value</t>
        </is>
      </c>
      <c r="C10" s="4" t="inlineStr">
        <is>
          <t>Direct</t>
        </is>
      </c>
      <c r="D10" s="4" t="inlineStr">
        <is>
          <t>property_value_original</t>
        </is>
      </c>
      <c r="E10" s="4" t="inlineStr">
        <is>
          <t>Same</t>
        </is>
      </c>
      <c r="F10" s="4">
        <f>'Loan Tape (BoE)'!D5*(1+regional_HPI_factor)</f>
        <v/>
      </c>
    </row>
    <row r="11">
      <c r="A11" s="12" t="inlineStr"/>
      <c r="B11" s="12" t="inlineStr"/>
      <c r="C11" s="12" t="inlineStr"/>
      <c r="D11" s="12" t="inlineStr"/>
      <c r="E11" s="12" t="inlineStr"/>
      <c r="F11" s="12">
        <f>'Loan Tape (BoE)'!E5</f>
        <v/>
      </c>
    </row>
    <row r="12">
      <c r="A12" s="4" t="inlineStr">
        <is>
          <t>BV11</t>
        </is>
      </c>
      <c r="B12" s="4" t="inlineStr">
        <is>
          <t>Origination Date</t>
        </is>
      </c>
      <c r="C12" s="4" t="inlineStr">
        <is>
          <t>Direct</t>
        </is>
      </c>
      <c r="D12" s="4" t="inlineStr">
        <is>
          <t>origination_date</t>
        </is>
      </c>
      <c r="E12" s="4" t="inlineStr">
        <is>
          <t>Same</t>
        </is>
      </c>
      <c r="F12" s="4">
        <f>BoE!F[row]</f>
        <v/>
      </c>
    </row>
    <row r="13">
      <c r="A13" s="4" t="inlineStr">
        <is>
          <t>BV12</t>
        </is>
      </c>
      <c r="B13" s="4" t="inlineStr">
        <is>
          <t>Maturity Date</t>
        </is>
      </c>
      <c r="C13" s="4" t="inlineStr">
        <is>
          <t>Direct</t>
        </is>
      </c>
      <c r="D13" s="4" t="inlineStr">
        <is>
          <t>maturity_date</t>
        </is>
      </c>
      <c r="E13" s="4" t="inlineStr">
        <is>
          <t>Same</t>
        </is>
      </c>
      <c r="F13" s="4">
        <f>BoE!G[row]</f>
        <v/>
      </c>
    </row>
    <row r="14">
      <c r="A14" s="12" t="inlineStr"/>
      <c r="B14" s="12" t="inlineStr"/>
      <c r="C14" s="12" t="inlineStr"/>
      <c r="D14" s="12" t="inlineStr"/>
      <c r="E14" s="12" t="inlineStr"/>
      <c r="F14" s="12">
        <f>'Loan Tape (BoE)'!F5</f>
        <v/>
      </c>
    </row>
    <row r="15">
      <c r="A15" s="4" t="inlineStr">
        <is>
          <t>BV13</t>
        </is>
      </c>
      <c r="B15" s="4" t="inlineStr">
        <is>
          <t>Current Interest Rate</t>
        </is>
      </c>
      <c r="C15" s="4" t="inlineStr">
        <is>
          <t>Direct</t>
        </is>
      </c>
      <c r="D15" s="4" t="inlineStr">
        <is>
          <t>interest_rate</t>
        </is>
      </c>
      <c r="E15" s="4" t="inlineStr">
        <is>
          <t>Same</t>
        </is>
      </c>
      <c r="F15" s="4">
        <f>'Loan Tape (BoE)'!G5</f>
        <v/>
      </c>
    </row>
    <row r="16">
      <c r="A16" s="12" t="inlineStr"/>
      <c r="B16" s="12" t="inlineStr"/>
      <c r="C16" s="12" t="inlineStr"/>
      <c r="D16" s="12" t="inlineStr"/>
      <c r="E16" s="12" t="inlineStr"/>
      <c r="F16" s="12" t="inlineStr"/>
    </row>
    <row r="17">
      <c r="A17" s="4" t="inlineStr">
        <is>
          <t>BV22</t>
        </is>
      </c>
      <c r="B17" s="4" t="inlineStr">
        <is>
          <t>Property Type</t>
        </is>
      </c>
      <c r="C17" s="4" t="inlineStr">
        <is>
          <t>1</t>
        </is>
      </c>
      <c r="D17" s="4" t="inlineStr">
        <is>
          <t>property_type</t>
        </is>
      </c>
      <c r="E17" s="4" t="inlineStr">
        <is>
          <t>House</t>
        </is>
      </c>
      <c r="F17" s="4">
        <f>IFS(BoE!I[row]=1,"House",BoE!I[row]=2,"Flat",BoE!I[row]=3,"Bungalow",BoE!I[row]=4,"Maisonette")</f>
        <v/>
      </c>
    </row>
    <row r="18">
      <c r="A18" s="4" t="inlineStr">
        <is>
          <t>BV22</t>
        </is>
      </c>
      <c r="B18" s="4" t="inlineStr">
        <is>
          <t>Property Type</t>
        </is>
      </c>
      <c r="C18" s="4" t="inlineStr">
        <is>
          <t>2</t>
        </is>
      </c>
      <c r="D18" s="4" t="inlineStr">
        <is>
          <t>property_type</t>
        </is>
      </c>
      <c r="E18" s="4" t="inlineStr">
        <is>
          <t>Flat</t>
        </is>
      </c>
      <c r="F18" s="4">
        <f>'Loan Tape (BoE)'!H5</f>
        <v/>
      </c>
    </row>
    <row r="19">
      <c r="A19" s="4" t="inlineStr">
        <is>
          <t>BV22</t>
        </is>
      </c>
      <c r="B19" s="4" t="inlineStr">
        <is>
          <t>Property Type</t>
        </is>
      </c>
      <c r="C19" s="4" t="inlineStr">
        <is>
          <t>3</t>
        </is>
      </c>
      <c r="D19" s="4" t="inlineStr">
        <is>
          <t>property_type</t>
        </is>
      </c>
      <c r="E19" s="4" t="inlineStr">
        <is>
          <t>Bungalow</t>
        </is>
      </c>
      <c r="F19" s="4" t="inlineStr"/>
    </row>
    <row r="20">
      <c r="A20" s="4" t="inlineStr">
        <is>
          <t>BV22</t>
        </is>
      </c>
      <c r="B20" s="4" t="inlineStr">
        <is>
          <t>Property Type</t>
        </is>
      </c>
      <c r="C20" s="4" t="inlineStr">
        <is>
          <t>4</t>
        </is>
      </c>
      <c r="D20" s="4" t="inlineStr">
        <is>
          <t>property_type</t>
        </is>
      </c>
      <c r="E20" s="4" t="inlineStr">
        <is>
          <t>Maisonette</t>
        </is>
      </c>
      <c r="F20" s="4" t="inlineStr"/>
    </row>
    <row r="21">
      <c r="A21" s="12" t="inlineStr"/>
      <c r="B21" s="12" t="inlineStr"/>
      <c r="C21" s="12" t="inlineStr"/>
      <c r="D21" s="12" t="inlineStr"/>
      <c r="E21" s="12" t="inlineStr"/>
      <c r="F21" s="12">
        <f>IFS(I5=1,"House",I5=2,"Flat",I5=3,"Bungalow",I5=4,"Maisonette")</f>
        <v/>
      </c>
    </row>
    <row r="22">
      <c r="A22" s="4" t="inlineStr">
        <is>
          <t>BV23</t>
        </is>
      </c>
      <c r="B22" s="4" t="inlineStr">
        <is>
          <t>Region</t>
        </is>
      </c>
      <c r="C22" s="4" t="inlineStr">
        <is>
          <t>Direct</t>
        </is>
      </c>
      <c r="D22" s="4" t="inlineStr">
        <is>
          <t>region</t>
        </is>
      </c>
      <c r="E22" s="4" t="inlineStr">
        <is>
          <t>Same</t>
        </is>
      </c>
      <c r="F22" s="4">
        <f>BoE!J[row]</f>
        <v/>
      </c>
    </row>
    <row r="23">
      <c r="A23" s="4" t="inlineStr">
        <is>
          <t>BV24</t>
        </is>
      </c>
      <c r="B23" s="4" t="inlineStr">
        <is>
          <t>Postcode</t>
        </is>
      </c>
      <c r="C23" s="4" t="inlineStr">
        <is>
          <t>Direct</t>
        </is>
      </c>
      <c r="D23" s="4" t="inlineStr">
        <is>
          <t>postcode</t>
        </is>
      </c>
      <c r="E23" s="4" t="inlineStr">
        <is>
          <t>Same</t>
        </is>
      </c>
      <c r="F23" s="4">
        <f>BoE!K[row]</f>
        <v/>
      </c>
    </row>
    <row r="24">
      <c r="A24" s="12" t="inlineStr"/>
      <c r="B24" s="12" t="inlineStr"/>
      <c r="C24" s="12" t="inlineStr"/>
      <c r="D24" s="12" t="inlineStr"/>
      <c r="E24" s="12" t="inlineStr"/>
      <c r="F24" s="12" t="inlineStr"/>
    </row>
    <row r="25">
      <c r="A25" s="4" t="inlineStr">
        <is>
          <t>BV27</t>
        </is>
      </c>
      <c r="B25" s="4" t="inlineStr">
        <is>
          <t>Occupancy Status</t>
        </is>
      </c>
      <c r="C25" s="4" t="inlineStr">
        <is>
          <t>1</t>
        </is>
      </c>
      <c r="D25" s="4" t="inlineStr">
        <is>
          <t>occupancy_type</t>
        </is>
      </c>
      <c r="E25" s="4" t="inlineStr">
        <is>
          <t>Owner Occupied</t>
        </is>
      </c>
      <c r="F25" s="4">
        <f>IFS(BoE!L[row]=1,"Owner Occupied",BoE!L[row]=2,"BTL",BoE!L[row]=3,"Second Home",BoE!L[row]=4,"Investment")</f>
        <v/>
      </c>
    </row>
    <row r="26">
      <c r="A26" s="4" t="inlineStr">
        <is>
          <t>BV27</t>
        </is>
      </c>
      <c r="B26" s="4" t="inlineStr">
        <is>
          <t>Occupancy Status</t>
        </is>
      </c>
      <c r="C26" s="4" t="inlineStr">
        <is>
          <t>2</t>
        </is>
      </c>
      <c r="D26" s="4" t="inlineStr">
        <is>
          <t>occupancy_type</t>
        </is>
      </c>
      <c r="E26" s="4" t="inlineStr">
        <is>
          <t>BTL</t>
        </is>
      </c>
      <c r="F26" s="4">
        <f>'Loan Tape (BoE)'!J5</f>
        <v/>
      </c>
    </row>
    <row r="27">
      <c r="A27" s="4" t="inlineStr">
        <is>
          <t>BV27</t>
        </is>
      </c>
      <c r="B27" s="4" t="inlineStr">
        <is>
          <t>Occupancy Status</t>
        </is>
      </c>
      <c r="C27" s="4" t="inlineStr">
        <is>
          <t>3</t>
        </is>
      </c>
      <c r="D27" s="4" t="inlineStr">
        <is>
          <t>occupancy_type</t>
        </is>
      </c>
      <c r="E27" s="4" t="inlineStr">
        <is>
          <t>Second Home</t>
        </is>
      </c>
      <c r="F27" s="4">
        <f>'Loan Tape (BoE)'!K5</f>
        <v/>
      </c>
    </row>
    <row r="28">
      <c r="A28" s="4" t="inlineStr">
        <is>
          <t>BV27</t>
        </is>
      </c>
      <c r="B28" s="4" t="inlineStr">
        <is>
          <t>Occupancy Status</t>
        </is>
      </c>
      <c r="C28" s="4" t="inlineStr">
        <is>
          <t>4</t>
        </is>
      </c>
      <c r="D28" s="4" t="inlineStr">
        <is>
          <t>occupancy_type</t>
        </is>
      </c>
      <c r="E28" s="4" t="inlineStr">
        <is>
          <t>Investment</t>
        </is>
      </c>
      <c r="F28" s="4" t="inlineStr"/>
    </row>
    <row r="29">
      <c r="A29" s="12" t="inlineStr"/>
      <c r="B29" s="12" t="inlineStr"/>
      <c r="C29" s="12" t="inlineStr"/>
      <c r="D29" s="12" t="inlineStr"/>
      <c r="E29" s="12" t="inlineStr"/>
      <c r="F29" s="12" t="inlineStr"/>
    </row>
    <row r="30">
      <c r="A30" s="4" t="inlineStr">
        <is>
          <t>BV28</t>
        </is>
      </c>
      <c r="B30" s="4" t="inlineStr">
        <is>
          <t>Loan Purpose</t>
        </is>
      </c>
      <c r="C30" s="4" t="inlineStr">
        <is>
          <t>1</t>
        </is>
      </c>
      <c r="D30" s="4" t="inlineStr">
        <is>
          <t>loan_purpose</t>
        </is>
      </c>
      <c r="E30" s="4" t="inlineStr">
        <is>
          <t>Purchase</t>
        </is>
      </c>
      <c r="F30" s="4">
        <f>IFS(BoE!M[row]=1,"Purchase",BoE!M[row]=2,"Remortgage",OR(BoE!M[row]=3,BoE!M[row]=4),"Cash-out")</f>
        <v/>
      </c>
    </row>
    <row r="31">
      <c r="A31" s="4" t="inlineStr">
        <is>
          <t>BV28</t>
        </is>
      </c>
      <c r="B31" s="4" t="inlineStr">
        <is>
          <t>Loan Purpose</t>
        </is>
      </c>
      <c r="C31" s="4" t="inlineStr">
        <is>
          <t>2</t>
        </is>
      </c>
      <c r="D31" s="4" t="inlineStr">
        <is>
          <t>loan_purpose</t>
        </is>
      </c>
      <c r="E31" s="4" t="inlineStr">
        <is>
          <t>Remortgage</t>
        </is>
      </c>
      <c r="F31" s="4">
        <f>IFS(L5=1,"Owner Occupied",L5=2,"BTL",L5=3,"Second Home",L5=4,"Investment")</f>
        <v/>
      </c>
    </row>
    <row r="32">
      <c r="A32" s="4" t="inlineStr">
        <is>
          <t>BV28</t>
        </is>
      </c>
      <c r="B32" s="4" t="inlineStr">
        <is>
          <t>Loan Purpose</t>
        </is>
      </c>
      <c r="C32" s="4" t="inlineStr">
        <is>
          <t>3</t>
        </is>
      </c>
      <c r="D32" s="4" t="inlineStr">
        <is>
          <t>loan_purpose</t>
        </is>
      </c>
      <c r="E32" s="4" t="inlineStr">
        <is>
          <t>Cash-out</t>
        </is>
      </c>
      <c r="F32" s="4" t="inlineStr">
        <is>
          <t>Further advance</t>
        </is>
      </c>
    </row>
    <row r="33">
      <c r="A33" s="4" t="inlineStr">
        <is>
          <t>BV28</t>
        </is>
      </c>
      <c r="B33" s="4" t="inlineStr">
        <is>
          <t>Loan Purpose</t>
        </is>
      </c>
      <c r="C33" s="4" t="inlineStr">
        <is>
          <t>4</t>
        </is>
      </c>
      <c r="D33" s="4" t="inlineStr">
        <is>
          <t>loan_purpose</t>
        </is>
      </c>
      <c r="E33" s="4" t="inlineStr">
        <is>
          <t>Cash-out</t>
        </is>
      </c>
      <c r="F33" s="4" t="inlineStr">
        <is>
          <t>Debt consolidation</t>
        </is>
      </c>
    </row>
    <row r="34">
      <c r="A34" s="12" t="inlineStr"/>
      <c r="B34" s="12" t="inlineStr"/>
      <c r="C34" s="12" t="inlineStr"/>
      <c r="D34" s="12" t="inlineStr"/>
      <c r="E34" s="12" t="inlineStr"/>
      <c r="F34" s="12" t="inlineStr"/>
    </row>
    <row r="35">
      <c r="A35" s="4" t="inlineStr">
        <is>
          <t>BV29</t>
        </is>
      </c>
      <c r="B35" s="4" t="inlineStr">
        <is>
          <t>Payment Method</t>
        </is>
      </c>
      <c r="C35" s="4" t="inlineStr">
        <is>
          <t>1</t>
        </is>
      </c>
      <c r="D35" s="4" t="inlineStr">
        <is>
          <t>product_type</t>
        </is>
      </c>
      <c r="E35" s="4" t="inlineStr">
        <is>
          <t>Repayment</t>
        </is>
      </c>
      <c r="F35" s="4">
        <f>IFS(BoE!N[row]=1,"Repayment",BoE!N[row]=2,"Interest Only",BoE!N[row]=3,"Part &amp; Part")</f>
        <v/>
      </c>
    </row>
    <row r="36">
      <c r="A36" s="4" t="inlineStr">
        <is>
          <t>BV29</t>
        </is>
      </c>
      <c r="B36" s="4" t="inlineStr">
        <is>
          <t>Payment Method</t>
        </is>
      </c>
      <c r="C36" s="4" t="inlineStr">
        <is>
          <t>2</t>
        </is>
      </c>
      <c r="D36" s="4" t="inlineStr">
        <is>
          <t>product_type</t>
        </is>
      </c>
      <c r="E36" s="4" t="inlineStr">
        <is>
          <t>Interest Only</t>
        </is>
      </c>
      <c r="F36" s="4">
        <f>IFS(M5=1,"Purchase",M5=2,"Remortgage",OR(M5=3,M5=4),"Cash-out")</f>
        <v/>
      </c>
    </row>
    <row r="37">
      <c r="A37" s="4" t="inlineStr">
        <is>
          <t>BV29</t>
        </is>
      </c>
      <c r="B37" s="4" t="inlineStr">
        <is>
          <t>Payment Method</t>
        </is>
      </c>
      <c r="C37" s="4" t="inlineStr">
        <is>
          <t>3</t>
        </is>
      </c>
      <c r="D37" s="4" t="inlineStr">
        <is>
          <t>product_type</t>
        </is>
      </c>
      <c r="E37" s="4" t="inlineStr">
        <is>
          <t>Part &amp; Part</t>
        </is>
      </c>
      <c r="F37" s="4" t="inlineStr">
        <is>
          <t>Mixed repayment/IO</t>
        </is>
      </c>
    </row>
    <row r="38">
      <c r="A38" s="12" t="inlineStr"/>
      <c r="B38" s="12" t="inlineStr"/>
      <c r="C38" s="12" t="inlineStr"/>
      <c r="D38" s="12" t="inlineStr"/>
      <c r="E38" s="12" t="inlineStr"/>
      <c r="F38" s="12" t="inlineStr"/>
    </row>
    <row r="39">
      <c r="A39" s="4" t="inlineStr">
        <is>
          <t>BV33</t>
        </is>
      </c>
      <c r="B39" s="4" t="inlineStr">
        <is>
          <t>Right to Buy</t>
        </is>
      </c>
      <c r="C39" s="4" t="inlineStr">
        <is>
          <t>1</t>
        </is>
      </c>
      <c r="D39" s="4" t="inlineStr">
        <is>
          <t>right_to_buy_flag</t>
        </is>
      </c>
      <c r="E39" s="4" t="inlineStr">
        <is>
          <t>Yes</t>
        </is>
      </c>
      <c r="F39" s="4">
        <f>IF(BoE!O[row]=1,"Yes","No")</f>
        <v/>
      </c>
    </row>
    <row r="40">
      <c r="A40" s="4" t="inlineStr">
        <is>
          <t>BV33</t>
        </is>
      </c>
      <c r="B40" s="4" t="inlineStr">
        <is>
          <t>Right to Buy</t>
        </is>
      </c>
      <c r="C40" s="4" t="inlineStr">
        <is>
          <t>2</t>
        </is>
      </c>
      <c r="D40" s="4" t="inlineStr">
        <is>
          <t>right_to_buy_flag</t>
        </is>
      </c>
      <c r="E40" s="4" t="inlineStr">
        <is>
          <t>No</t>
        </is>
      </c>
      <c r="F40" s="4" t="inlineStr"/>
    </row>
    <row r="41">
      <c r="A41" s="12" t="inlineStr"/>
      <c r="B41" s="12" t="inlineStr"/>
      <c r="C41" s="12" t="inlineStr"/>
      <c r="D41" s="12" t="inlineStr"/>
      <c r="E41" s="12" t="inlineStr"/>
      <c r="F41" s="12">
        <f>IFS(N5=1,"Repayment",N5=2,"Interest Only",N5=3,"Part &amp; Part")</f>
        <v/>
      </c>
    </row>
    <row r="42">
      <c r="A42" s="4" t="inlineStr">
        <is>
          <t>BV34</t>
        </is>
      </c>
      <c r="B42" s="4" t="inlineStr">
        <is>
          <t>Shared Ownership</t>
        </is>
      </c>
      <c r="C42" s="4" t="inlineStr">
        <is>
          <t>1</t>
        </is>
      </c>
      <c r="D42" s="4" t="inlineStr">
        <is>
          <t>shared_ownership_flag</t>
        </is>
      </c>
      <c r="E42" s="4" t="inlineStr">
        <is>
          <t>Yes</t>
        </is>
      </c>
      <c r="F42" s="4">
        <f>IF(BoE!P[row]=1,"Yes","No")</f>
        <v/>
      </c>
    </row>
    <row r="43">
      <c r="A43" s="4" t="inlineStr">
        <is>
          <t>BV34</t>
        </is>
      </c>
      <c r="B43" s="4" t="inlineStr">
        <is>
          <t>Shared Ownership</t>
        </is>
      </c>
      <c r="C43" s="4" t="inlineStr">
        <is>
          <t>2</t>
        </is>
      </c>
      <c r="D43" s="4" t="inlineStr">
        <is>
          <t>shared_ownership_flag</t>
        </is>
      </c>
      <c r="E43" s="4" t="inlineStr">
        <is>
          <t>No</t>
        </is>
      </c>
      <c r="F43" s="4" t="inlineStr">
        <is>
          <t>LTV uses mortgage portion only</t>
        </is>
      </c>
    </row>
    <row r="44">
      <c r="A44" s="12" t="inlineStr"/>
      <c r="B44" s="12" t="inlineStr"/>
      <c r="C44" s="12" t="inlineStr"/>
      <c r="D44" s="12" t="inlineStr"/>
      <c r="E44" s="12" t="inlineStr"/>
      <c r="F44" s="12" t="inlineStr"/>
    </row>
    <row r="45">
      <c r="A45" s="4" t="inlineStr">
        <is>
          <t>BV35</t>
        </is>
      </c>
      <c r="B45" s="4" t="inlineStr">
        <is>
          <t>Help to Buy</t>
        </is>
      </c>
      <c r="C45" s="4" t="inlineStr">
        <is>
          <t>1</t>
        </is>
      </c>
      <c r="D45" s="4" t="inlineStr">
        <is>
          <t>help_to_buy_flag</t>
        </is>
      </c>
      <c r="E45" s="4" t="inlineStr">
        <is>
          <t>Yes</t>
        </is>
      </c>
      <c r="F45" s="4">
        <f>IF(BoE!Q[row]=1,"Yes","No")</f>
        <v/>
      </c>
    </row>
    <row r="46">
      <c r="A46" s="4" t="inlineStr">
        <is>
          <t>BV35</t>
        </is>
      </c>
      <c r="B46" s="4" t="inlineStr">
        <is>
          <t>Help to Buy</t>
        </is>
      </c>
      <c r="C46" s="4" t="inlineStr">
        <is>
          <t>2</t>
        </is>
      </c>
      <c r="D46" s="4" t="inlineStr">
        <is>
          <t>help_to_buy_flag</t>
        </is>
      </c>
      <c r="E46" s="4" t="inlineStr">
        <is>
          <t>No</t>
        </is>
      </c>
      <c r="F46" s="4" t="inlineStr">
        <is>
          <t>Excludes FTB &amp; payment shock adj</t>
        </is>
      </c>
    </row>
    <row r="47">
      <c r="A47" s="12" t="inlineStr"/>
      <c r="B47" s="12" t="inlineStr"/>
      <c r="C47" s="12" t="inlineStr"/>
      <c r="D47" s="12" t="inlineStr"/>
      <c r="E47" s="12" t="inlineStr"/>
      <c r="F47" s="12" t="inlineStr"/>
    </row>
    <row r="48">
      <c r="A48" s="4" t="inlineStr">
        <is>
          <t>BV40</t>
        </is>
      </c>
      <c r="B48" s="4" t="inlineStr">
        <is>
          <t>Borrower 1 Income</t>
        </is>
      </c>
      <c r="C48" s="4" t="inlineStr">
        <is>
          <t>Direct</t>
        </is>
      </c>
      <c r="D48" s="4" t="inlineStr">
        <is>
          <t>borrower1_income</t>
        </is>
      </c>
      <c r="E48" s="4" t="inlineStr">
        <is>
          <t>Same</t>
        </is>
      </c>
      <c r="F48" s="4">
        <f>BoE!R[row]</f>
        <v/>
      </c>
    </row>
    <row r="49">
      <c r="A49" s="4" t="inlineStr">
        <is>
          <t>BV41</t>
        </is>
      </c>
      <c r="B49" s="4" t="inlineStr">
        <is>
          <t>Borrower 2 Income</t>
        </is>
      </c>
      <c r="C49" s="4" t="inlineStr">
        <is>
          <t>Direct</t>
        </is>
      </c>
      <c r="D49" s="4" t="inlineStr">
        <is>
          <t>borrower2_income</t>
        </is>
      </c>
      <c r="E49" s="4" t="inlineStr">
        <is>
          <t>Same</t>
        </is>
      </c>
      <c r="F49" s="4">
        <f>BoE!S[row]</f>
        <v/>
      </c>
    </row>
    <row r="50">
      <c r="A50" s="4" t="inlineStr">
        <is>
          <t>BV42</t>
        </is>
      </c>
      <c r="B50" s="4" t="inlineStr">
        <is>
          <t>Number of Borrowers</t>
        </is>
      </c>
      <c r="C50" s="4" t="inlineStr">
        <is>
          <t>1 or 2</t>
        </is>
      </c>
      <c r="D50" s="4" t="inlineStr">
        <is>
          <t>num_borrowers</t>
        </is>
      </c>
      <c r="E50" s="4" t="inlineStr">
        <is>
          <t>Same</t>
        </is>
      </c>
      <c r="F50" s="4">
        <f>BoE!T[row]</f>
        <v/>
      </c>
    </row>
    <row r="51">
      <c r="A51" s="12" t="inlineStr"/>
      <c r="B51" s="12" t="inlineStr">
        <is>
          <t>Total Income</t>
        </is>
      </c>
      <c r="C51" s="12" t="inlineStr">
        <is>
          <t>Calc</t>
        </is>
      </c>
      <c r="D51" s="12" t="inlineStr">
        <is>
          <t>total_income</t>
        </is>
      </c>
      <c r="E51" s="12" t="inlineStr">
        <is>
          <t>Sum</t>
        </is>
      </c>
      <c r="F51" s="12">
        <f>BoE!R[row]+BoE!S[row]</f>
        <v/>
      </c>
    </row>
    <row r="52">
      <c r="A52" s="12" t="inlineStr"/>
      <c r="B52" s="12" t="inlineStr"/>
      <c r="C52" s="12" t="inlineStr"/>
      <c r="D52" s="12" t="inlineStr"/>
      <c r="E52" s="12" t="inlineStr"/>
      <c r="F52" s="12" t="inlineStr"/>
    </row>
    <row r="53">
      <c r="A53" s="4" t="inlineStr">
        <is>
          <t>BV45</t>
        </is>
      </c>
      <c r="B53" s="4" t="inlineStr">
        <is>
          <t>Employment Status Borr1</t>
        </is>
      </c>
      <c r="C53" s="4" t="inlineStr">
        <is>
          <t>1</t>
        </is>
      </c>
      <c r="D53" s="4" t="inlineStr">
        <is>
          <t>employment_status_borr1</t>
        </is>
      </c>
      <c r="E53" s="4" t="inlineStr">
        <is>
          <t>Employed</t>
        </is>
      </c>
      <c r="F53" s="4">
        <f>IFS(BoE!U[row]=1,"Employed",BoE!U[row]=2,"Self-Employed",BoE!U[row]=3,"Unemployed",BoE!U[row]=4,"Retired")</f>
        <v/>
      </c>
    </row>
    <row r="54">
      <c r="A54" s="4" t="inlineStr">
        <is>
          <t>BV45</t>
        </is>
      </c>
      <c r="B54" s="4" t="inlineStr">
        <is>
          <t>Employment Status Borr1</t>
        </is>
      </c>
      <c r="C54" s="4" t="inlineStr">
        <is>
          <t>2</t>
        </is>
      </c>
      <c r="D54" s="4" t="inlineStr">
        <is>
          <t>employment_status_borr1</t>
        </is>
      </c>
      <c r="E54" s="4" t="inlineStr">
        <is>
          <t>Self-Employed</t>
        </is>
      </c>
      <c r="F54" s="4" t="inlineStr"/>
    </row>
    <row r="55">
      <c r="A55" s="4" t="inlineStr">
        <is>
          <t>BV46</t>
        </is>
      </c>
      <c r="B55" s="4" t="inlineStr">
        <is>
          <t>Employment Status Borr2</t>
        </is>
      </c>
      <c r="C55" s="4" t="inlineStr">
        <is>
          <t>1</t>
        </is>
      </c>
      <c r="D55" s="4" t="inlineStr">
        <is>
          <t>employment_status_borr2</t>
        </is>
      </c>
      <c r="E55" s="4" t="inlineStr">
        <is>
          <t>Employed</t>
        </is>
      </c>
      <c r="F55" s="4" t="inlineStr">
        <is>
          <t>Same logic as Borr1</t>
        </is>
      </c>
    </row>
    <row r="56">
      <c r="A56" s="12" t="inlineStr"/>
      <c r="B56" s="12" t="inlineStr">
        <is>
          <t>Self-Employed Flag</t>
        </is>
      </c>
      <c r="C56" s="12" t="inlineStr">
        <is>
          <t>Calc</t>
        </is>
      </c>
      <c r="D56" s="12" t="inlineStr">
        <is>
          <t>self_employed_flag</t>
        </is>
      </c>
      <c r="E56" s="12" t="inlineStr">
        <is>
          <t>Yes/No</t>
        </is>
      </c>
      <c r="F56" s="12">
        <f>IF(OR(U[row]="Self-Employed",V[row]="Self-Employed"),"Yes","No")</f>
        <v/>
      </c>
    </row>
    <row r="57">
      <c r="A57" s="12" t="inlineStr"/>
      <c r="B57" s="12" t="inlineStr"/>
      <c r="C57" s="12" t="inlineStr"/>
      <c r="D57" s="12" t="inlineStr"/>
      <c r="E57" s="12" t="inlineStr"/>
      <c r="F57" s="12" t="inlineStr"/>
    </row>
    <row r="58">
      <c r="A58" s="4" t="inlineStr">
        <is>
          <t>BV50</t>
        </is>
      </c>
      <c r="B58" s="4" t="inlineStr">
        <is>
          <t>Credit Score Borr1</t>
        </is>
      </c>
      <c r="C58" s="4" t="inlineStr">
        <is>
          <t>Direct</t>
        </is>
      </c>
      <c r="D58" s="4" t="inlineStr">
        <is>
          <t>credit_score_borr1</t>
        </is>
      </c>
      <c r="E58" s="4" t="inlineStr">
        <is>
          <t>Same</t>
        </is>
      </c>
      <c r="F58" s="4">
        <f>BoE!W[row]</f>
        <v/>
      </c>
    </row>
    <row r="59">
      <c r="A59" s="4" t="inlineStr">
        <is>
          <t>BV51</t>
        </is>
      </c>
      <c r="B59" s="4" t="inlineStr">
        <is>
          <t>Credit Score Borr2</t>
        </is>
      </c>
      <c r="C59" s="4" t="inlineStr">
        <is>
          <t>Direct</t>
        </is>
      </c>
      <c r="D59" s="4" t="inlineStr">
        <is>
          <t>credit_score_borr2</t>
        </is>
      </c>
      <c r="E59" s="4" t="inlineStr">
        <is>
          <t>Same</t>
        </is>
      </c>
      <c r="F59" s="4">
        <f>BoE!X[row]</f>
        <v/>
      </c>
    </row>
    <row r="60">
      <c r="A60" s="12" t="inlineStr"/>
      <c r="B60" s="12" t="inlineStr">
        <is>
          <t>Worst Credit Score</t>
        </is>
      </c>
      <c r="C60" s="12" t="inlineStr">
        <is>
          <t>Calc</t>
        </is>
      </c>
      <c r="D60" s="12" t="inlineStr">
        <is>
          <t>credit_score</t>
        </is>
      </c>
      <c r="E60" s="12" t="inlineStr">
        <is>
          <t>Min</t>
        </is>
      </c>
      <c r="F60" s="12">
        <f>MIN(BoE!W[row],BoE!X[row])</f>
        <v/>
      </c>
    </row>
    <row r="61">
      <c r="A61" s="12" t="inlineStr"/>
      <c r="B61" s="12" t="inlineStr"/>
      <c r="C61" s="12" t="inlineStr"/>
      <c r="D61" s="12" t="inlineStr"/>
      <c r="E61" s="12" t="inlineStr"/>
      <c r="F61" s="12" t="inlineStr"/>
    </row>
    <row r="62">
      <c r="A62" s="4" t="inlineStr">
        <is>
          <t>BV55</t>
        </is>
      </c>
      <c r="B62" s="4" t="inlineStr">
        <is>
          <t>CCJ Count Borr1</t>
        </is>
      </c>
      <c r="C62" s="4" t="inlineStr">
        <is>
          <t>Direct</t>
        </is>
      </c>
      <c r="D62" s="4" t="inlineStr">
        <is>
          <t>ccj_count_borr1</t>
        </is>
      </c>
      <c r="E62" s="4" t="inlineStr">
        <is>
          <t>Same</t>
        </is>
      </c>
      <c r="F62" s="4">
        <f>BoE!Y[row]</f>
        <v/>
      </c>
    </row>
    <row r="63">
      <c r="A63" s="4" t="inlineStr">
        <is>
          <t>BV56</t>
        </is>
      </c>
      <c r="B63" s="4" t="inlineStr">
        <is>
          <t>CCJ Count Borr2</t>
        </is>
      </c>
      <c r="C63" s="4" t="inlineStr">
        <is>
          <t>Direct</t>
        </is>
      </c>
      <c r="D63" s="4" t="inlineStr">
        <is>
          <t>ccj_count_borr2</t>
        </is>
      </c>
      <c r="E63" s="4" t="inlineStr">
        <is>
          <t>Same</t>
        </is>
      </c>
      <c r="F63" s="4">
        <f>BoE!Z[row]</f>
        <v/>
      </c>
    </row>
    <row r="64">
      <c r="A64" s="12" t="inlineStr"/>
      <c r="B64" s="12" t="inlineStr">
        <is>
          <t>Total CCJ Count</t>
        </is>
      </c>
      <c r="C64" s="12" t="inlineStr">
        <is>
          <t>Calc</t>
        </is>
      </c>
      <c r="D64" s="12" t="inlineStr">
        <is>
          <t>ccj_count</t>
        </is>
      </c>
      <c r="E64" s="12" t="inlineStr">
        <is>
          <t>Sum</t>
        </is>
      </c>
      <c r="F64" s="12">
        <f>BoE!Y[row]+BoE!Z[row]</f>
        <v/>
      </c>
    </row>
    <row r="65">
      <c r="A65" s="12" t="inlineStr"/>
      <c r="B65" s="12" t="inlineStr"/>
      <c r="C65" s="12" t="inlineStr"/>
      <c r="D65" s="12" t="inlineStr"/>
      <c r="E65" s="12" t="inlineStr"/>
      <c r="F65" s="12" t="inlineStr"/>
    </row>
    <row r="66">
      <c r="A66" s="4" t="inlineStr">
        <is>
          <t>BV57</t>
        </is>
      </c>
      <c r="B66" s="4" t="inlineStr">
        <is>
          <t>CCJ Value Borr1</t>
        </is>
      </c>
      <c r="C66" s="4" t="inlineStr">
        <is>
          <t>Direct</t>
        </is>
      </c>
      <c r="D66" s="4" t="inlineStr">
        <is>
          <t>ccj_value_borr1</t>
        </is>
      </c>
      <c r="E66" s="4" t="inlineStr">
        <is>
          <t>Same</t>
        </is>
      </c>
      <c r="F66" s="4">
        <f>BoE!AA[row]</f>
        <v/>
      </c>
    </row>
    <row r="67">
      <c r="A67" s="4" t="inlineStr">
        <is>
          <t>BV58</t>
        </is>
      </c>
      <c r="B67" s="4" t="inlineStr">
        <is>
          <t>CCJ Value Borr2</t>
        </is>
      </c>
      <c r="C67" s="4" t="inlineStr">
        <is>
          <t>Direct</t>
        </is>
      </c>
      <c r="D67" s="4" t="inlineStr">
        <is>
          <t>ccj_value_borr2</t>
        </is>
      </c>
      <c r="E67" s="4" t="inlineStr">
        <is>
          <t>Same</t>
        </is>
      </c>
      <c r="F67" s="4">
        <f>BoE!AB[row]</f>
        <v/>
      </c>
    </row>
    <row r="68">
      <c r="A68" s="12" t="inlineStr"/>
      <c r="B68" s="12" t="inlineStr">
        <is>
          <t>Total CCJ Value</t>
        </is>
      </c>
      <c r="C68" s="12" t="inlineStr">
        <is>
          <t>Calc</t>
        </is>
      </c>
      <c r="D68" s="12" t="inlineStr">
        <is>
          <t>ccj_total_value</t>
        </is>
      </c>
      <c r="E68" s="12" t="inlineStr">
        <is>
          <t>Sum</t>
        </is>
      </c>
      <c r="F68" s="12">
        <f>BoE!AA[row]+BoE!AB[row]</f>
        <v/>
      </c>
    </row>
    <row r="69">
      <c r="A69" s="12" t="inlineStr"/>
      <c r="B69" s="12" t="inlineStr"/>
      <c r="C69" s="12" t="inlineStr"/>
      <c r="D69" s="12" t="inlineStr"/>
      <c r="E69" s="12" t="inlineStr"/>
      <c r="F69" s="12" t="inlineStr"/>
    </row>
    <row r="70">
      <c r="A70" s="4" t="inlineStr">
        <is>
          <t>BV59</t>
        </is>
      </c>
      <c r="B70" s="4" t="inlineStr">
        <is>
          <t>Most Recent CCJ Date</t>
        </is>
      </c>
      <c r="C70" s="4" t="inlineStr">
        <is>
          <t>Direct</t>
        </is>
      </c>
      <c r="D70" s="4" t="inlineStr">
        <is>
          <t>ccj_date_most_recent</t>
        </is>
      </c>
      <c r="E70" s="4" t="inlineStr">
        <is>
          <t>Most Recent</t>
        </is>
      </c>
      <c r="F70" s="4">
        <f>MAX(BoE!AC[row],BoE!AD[row])</f>
        <v/>
      </c>
    </row>
    <row r="71">
      <c r="A71" s="12" t="inlineStr"/>
      <c r="B71" s="12" t="inlineStr"/>
      <c r="C71" s="12" t="inlineStr"/>
      <c r="D71" s="12" t="inlineStr"/>
      <c r="E71" s="12" t="inlineStr"/>
      <c r="F71" s="12" t="inlineStr"/>
    </row>
    <row r="72">
      <c r="A72" s="4" t="inlineStr">
        <is>
          <t>BV60</t>
        </is>
      </c>
      <c r="B72" s="4" t="inlineStr">
        <is>
          <t>Arrears Balance</t>
        </is>
      </c>
      <c r="C72" s="4" t="inlineStr">
        <is>
          <t>Direct</t>
        </is>
      </c>
      <c r="D72" s="4" t="inlineStr">
        <is>
          <t>arrears_balance</t>
        </is>
      </c>
      <c r="E72" s="4" t="inlineStr">
        <is>
          <t>Same</t>
        </is>
      </c>
      <c r="F72" s="4">
        <f>BoE!AE[row]</f>
        <v/>
      </c>
    </row>
    <row r="73">
      <c r="A73" s="12" t="inlineStr"/>
      <c r="B73" s="12" t="inlineStr">
        <is>
          <t>Monthly Payment</t>
        </is>
      </c>
      <c r="C73" s="12" t="inlineStr">
        <is>
          <t>Calc</t>
        </is>
      </c>
      <c r="D73" s="12" t="inlineStr">
        <is>
          <t>monthly_payment</t>
        </is>
      </c>
      <c r="E73" s="12" t="inlineStr">
        <is>
          <t>Formula</t>
        </is>
      </c>
      <c r="F73" s="12">
        <f>current_balance*interest_rate/12</f>
        <v/>
      </c>
    </row>
    <row r="74">
      <c r="A74" s="12" t="inlineStr"/>
      <c r="B74" s="12" t="inlineStr">
        <is>
          <t>Months in Arrears</t>
        </is>
      </c>
      <c r="C74" s="12" t="inlineStr">
        <is>
          <t>Calc</t>
        </is>
      </c>
      <c r="D74" s="12" t="inlineStr">
        <is>
          <t>arrears_months</t>
        </is>
      </c>
      <c r="E74" s="12" t="inlineStr">
        <is>
          <t>Formula</t>
        </is>
      </c>
      <c r="F74" s="12">
        <f>arrears_balance/monthly_payment</f>
        <v/>
      </c>
    </row>
    <row r="75">
      <c r="A75" s="12" t="inlineStr"/>
      <c r="B75" s="12" t="inlineStr"/>
      <c r="C75" s="12" t="inlineStr"/>
      <c r="D75" s="12" t="inlineStr"/>
      <c r="E75" s="12" t="inlineStr"/>
      <c r="F75" s="12" t="inlineStr"/>
    </row>
    <row r="76">
      <c r="A76" s="4" t="inlineStr">
        <is>
          <t>BV65</t>
        </is>
      </c>
      <c r="B76" s="4" t="inlineStr">
        <is>
          <t>Bankruptcy Flag</t>
        </is>
      </c>
      <c r="C76" s="4" t="inlineStr">
        <is>
          <t>1/2</t>
        </is>
      </c>
      <c r="D76" s="4" t="inlineStr">
        <is>
          <t>bankruptcy_flag</t>
        </is>
      </c>
      <c r="E76" s="4" t="inlineStr">
        <is>
          <t>Yes/No</t>
        </is>
      </c>
      <c r="F76" s="4">
        <f>IF(BoE!AF[row]=1,"Yes","No")</f>
        <v/>
      </c>
    </row>
    <row r="77">
      <c r="A77" s="4" t="inlineStr">
        <is>
          <t>BV66</t>
        </is>
      </c>
      <c r="B77" s="4" t="inlineStr">
        <is>
          <t>Bankruptcy Date</t>
        </is>
      </c>
      <c r="C77" s="4" t="inlineStr">
        <is>
          <t>Direct</t>
        </is>
      </c>
      <c r="D77" s="4" t="inlineStr">
        <is>
          <t>bankruptcy_date</t>
        </is>
      </c>
      <c r="E77" s="4" t="inlineStr">
        <is>
          <t>Same</t>
        </is>
      </c>
      <c r="F77" s="4">
        <f>BoE!AG[row]</f>
        <v/>
      </c>
    </row>
    <row r="78">
      <c r="A78" s="4" t="inlineStr">
        <is>
          <t>BV67</t>
        </is>
      </c>
      <c r="B78" s="4" t="inlineStr">
        <is>
          <t>IVA Flag</t>
        </is>
      </c>
      <c r="C78" s="4" t="inlineStr">
        <is>
          <t>1/2</t>
        </is>
      </c>
      <c r="D78" s="4" t="inlineStr">
        <is>
          <t>iva_flag</t>
        </is>
      </c>
      <c r="E78" s="4" t="inlineStr">
        <is>
          <t>Yes/No</t>
        </is>
      </c>
      <c r="F78" s="4">
        <f>IF(BoE!AH[row]=1,"Yes","No")</f>
        <v/>
      </c>
    </row>
    <row r="79">
      <c r="A79" s="4" t="inlineStr">
        <is>
          <t>BV68</t>
        </is>
      </c>
      <c r="B79" s="4" t="inlineStr">
        <is>
          <t>Prior Repossession Flag</t>
        </is>
      </c>
      <c r="C79" s="4" t="inlineStr">
        <is>
          <t>1/2</t>
        </is>
      </c>
      <c r="D79" s="4" t="inlineStr">
        <is>
          <t>prior_repossession_flag</t>
        </is>
      </c>
      <c r="E79" s="4" t="inlineStr">
        <is>
          <t>Yes/No</t>
        </is>
      </c>
      <c r="F79" s="4">
        <f>IF(BoE!AI[row]=1,"Yes","No")</f>
        <v/>
      </c>
    </row>
    <row r="80">
      <c r="A80" s="12" t="inlineStr"/>
      <c r="B80" s="12" t="inlineStr"/>
      <c r="C80" s="12" t="inlineStr"/>
      <c r="D80" s="12" t="inlineStr"/>
      <c r="E80" s="12" t="inlineStr"/>
      <c r="F80" s="12" t="inlineStr"/>
    </row>
    <row r="81">
      <c r="A81" s="4" t="inlineStr">
        <is>
          <t>BV70</t>
        </is>
      </c>
      <c r="B81" s="4" t="inlineStr">
        <is>
          <t>Self-Certified Flag</t>
        </is>
      </c>
      <c r="C81" s="4" t="inlineStr">
        <is>
          <t>1/2</t>
        </is>
      </c>
      <c r="D81" s="4" t="inlineStr">
        <is>
          <t>self_certified_flag</t>
        </is>
      </c>
      <c r="E81" s="4" t="inlineStr">
        <is>
          <t>Yes/No</t>
        </is>
      </c>
      <c r="F81" s="4">
        <f>IF(BoE!AJ[row]=1,"Yes","No")</f>
        <v/>
      </c>
    </row>
    <row r="82">
      <c r="A82" s="4" t="inlineStr">
        <is>
          <t>BV71</t>
        </is>
      </c>
      <c r="B82" s="4" t="inlineStr">
        <is>
          <t>First Time Buyer</t>
        </is>
      </c>
      <c r="C82" s="4" t="inlineStr">
        <is>
          <t>1/2</t>
        </is>
      </c>
      <c r="D82" s="4" t="inlineStr">
        <is>
          <t>first_time_buyer_flag</t>
        </is>
      </c>
      <c r="E82" s="4" t="inlineStr">
        <is>
          <t>Yes/No</t>
        </is>
      </c>
      <c r="F82" s="4">
        <f>IF(BoE!AK[row]=1,"Yes","No")</f>
        <v/>
      </c>
    </row>
    <row r="83">
      <c r="A83" s="4" t="inlineStr">
        <is>
          <t>BV72</t>
        </is>
      </c>
      <c r="B83" s="4" t="inlineStr">
        <is>
          <t>Payment Shock Flag</t>
        </is>
      </c>
      <c r="C83" s="4" t="inlineStr">
        <is>
          <t>1/2</t>
        </is>
      </c>
      <c r="D83" s="4" t="inlineStr">
        <is>
          <t>payment_shock_flag</t>
        </is>
      </c>
      <c r="E83" s="4" t="inlineStr">
        <is>
          <t>Yes/No</t>
        </is>
      </c>
      <c r="F83" s="4">
        <f>IF(BoE!AL[row]=1,"Yes","No")</f>
        <v/>
      </c>
    </row>
    <row r="84">
      <c r="A84" s="12" t="inlineStr"/>
      <c r="B84" s="12" t="inlineStr"/>
      <c r="C84" s="12" t="inlineStr"/>
      <c r="D84" s="12" t="inlineStr"/>
      <c r="E84" s="12" t="inlineStr"/>
      <c r="F84" s="12" t="inlineStr"/>
    </row>
    <row r="85">
      <c r="A85" s="4" t="inlineStr">
        <is>
          <t>BV75</t>
        </is>
      </c>
      <c r="B85" s="4" t="inlineStr">
        <is>
          <t>Reperforming Flag</t>
        </is>
      </c>
      <c r="C85" s="4" t="inlineStr">
        <is>
          <t>1/2</t>
        </is>
      </c>
      <c r="D85" s="4" t="inlineStr">
        <is>
          <t>reperforming_flag</t>
        </is>
      </c>
      <c r="E85" s="4" t="inlineStr">
        <is>
          <t>Yes/No</t>
        </is>
      </c>
      <c r="F85" s="4">
        <f>IF(BoE!AM[row]=1,"Yes","No")</f>
        <v/>
      </c>
    </row>
    <row r="86">
      <c r="A86" s="4" t="inlineStr">
        <is>
          <t>BV76</t>
        </is>
      </c>
      <c r="B86" s="4" t="inlineStr">
        <is>
          <t>Date Last 90+ dpd</t>
        </is>
      </c>
      <c r="C86" s="4" t="inlineStr">
        <is>
          <t>Direct</t>
        </is>
      </c>
      <c r="D86" s="4" t="inlineStr">
        <is>
          <t>date_last_90dpd</t>
        </is>
      </c>
      <c r="E86" s="4" t="inlineStr">
        <is>
          <t>Same</t>
        </is>
      </c>
      <c r="F86" s="4">
        <f>BoE!AN[row]</f>
        <v/>
      </c>
    </row>
    <row r="87">
      <c r="A87" s="12" t="inlineStr"/>
      <c r="B87" s="12" t="inlineStr"/>
      <c r="C87" s="12" t="inlineStr"/>
      <c r="D87" s="12" t="inlineStr"/>
      <c r="E87" s="12" t="inlineStr"/>
      <c r="F87" s="12" t="inlineStr"/>
    </row>
    <row r="88">
      <c r="A88" s="4" t="inlineStr">
        <is>
          <t>BV80</t>
        </is>
      </c>
      <c r="B88" s="4" t="inlineStr">
        <is>
          <t>Lien Position</t>
        </is>
      </c>
      <c r="C88" s="4" t="inlineStr">
        <is>
          <t>1</t>
        </is>
      </c>
      <c r="D88" s="4" t="inlineStr">
        <is>
          <t>lien_position</t>
        </is>
      </c>
      <c r="E88" s="4" t="inlineStr">
        <is>
          <t>First</t>
        </is>
      </c>
      <c r="F88" s="4">
        <f>IFS(BoE!AO[row]=1,"First",BoE!AO[row]=2,"Second",BoE!AO[row]&gt;=3,"Third+")</f>
        <v/>
      </c>
    </row>
    <row r="89">
      <c r="A89" s="4" t="inlineStr">
        <is>
          <t>BV80</t>
        </is>
      </c>
      <c r="B89" s="4" t="inlineStr">
        <is>
          <t>Lien Position</t>
        </is>
      </c>
      <c r="C89" s="4" t="inlineStr">
        <is>
          <t>2</t>
        </is>
      </c>
      <c r="D89" s="4" t="inlineStr">
        <is>
          <t>lien_position</t>
        </is>
      </c>
      <c r="E89" s="4" t="inlineStr">
        <is>
          <t>Second</t>
        </is>
      </c>
      <c r="F89" s="4" t="inlineStr"/>
    </row>
    <row r="90">
      <c r="A90" s="4" t="inlineStr">
        <is>
          <t>BV80</t>
        </is>
      </c>
      <c r="B90" s="4" t="inlineStr">
        <is>
          <t>Lien Position</t>
        </is>
      </c>
      <c r="C90" s="4" t="inlineStr">
        <is>
          <t>3+</t>
        </is>
      </c>
      <c r="D90" s="4" t="inlineStr">
        <is>
          <t>lien_position</t>
        </is>
      </c>
      <c r="E90" s="4" t="inlineStr">
        <is>
          <t>Third+</t>
        </is>
      </c>
      <c r="F90" s="4" t="inlineStr"/>
    </row>
    <row r="91">
      <c r="A91" s="12" t="inlineStr"/>
      <c r="B91" s="12" t="inlineStr"/>
      <c r="C91" s="12" t="inlineStr"/>
      <c r="D91" s="12" t="inlineStr"/>
      <c r="E91" s="12" t="inlineStr"/>
      <c r="F91" s="12" t="inlineStr"/>
    </row>
    <row r="92">
      <c r="A92" s="4" t="inlineStr">
        <is>
          <t>BV85</t>
        </is>
      </c>
      <c r="B92" s="4" t="inlineStr">
        <is>
          <t>Valuation Method</t>
        </is>
      </c>
      <c r="C92" s="4" t="inlineStr">
        <is>
          <t>1</t>
        </is>
      </c>
      <c r="D92" s="4" t="inlineStr">
        <is>
          <t>valuation_type</t>
        </is>
      </c>
      <c r="E92" s="4" t="inlineStr">
        <is>
          <t>Full</t>
        </is>
      </c>
      <c r="F92" s="4">
        <f>IFS(BoE!AP[row]=1,"Full",BoE!AP[row]=2,"AVM",BoE!AP[row]=3,"Drive-by")</f>
        <v/>
      </c>
    </row>
    <row r="93">
      <c r="A93" s="4" t="inlineStr">
        <is>
          <t>BV85</t>
        </is>
      </c>
      <c r="B93" s="4" t="inlineStr">
        <is>
          <t>Valuation Method</t>
        </is>
      </c>
      <c r="C93" s="4" t="inlineStr">
        <is>
          <t>2</t>
        </is>
      </c>
      <c r="D93" s="4" t="inlineStr">
        <is>
          <t>valuation_type</t>
        </is>
      </c>
      <c r="E93" s="4" t="inlineStr">
        <is>
          <t>AVM</t>
        </is>
      </c>
      <c r="F93" s="4" t="inlineStr">
        <is>
          <t>5% haircut if not Full</t>
        </is>
      </c>
    </row>
    <row r="94">
      <c r="A94" s="4" t="inlineStr">
        <is>
          <t>BV85</t>
        </is>
      </c>
      <c r="B94" s="4" t="inlineStr">
        <is>
          <t>Valuation Method</t>
        </is>
      </c>
      <c r="C94" s="4" t="inlineStr">
        <is>
          <t>3</t>
        </is>
      </c>
      <c r="D94" s="4" t="inlineStr">
        <is>
          <t>valuation_type</t>
        </is>
      </c>
      <c r="E94" s="4" t="inlineStr">
        <is>
          <t>Drive-by</t>
        </is>
      </c>
      <c r="F94" s="4" t="inlineStr">
        <is>
          <t>5% haircut if not Full</t>
        </is>
      </c>
    </row>
    <row r="95">
      <c r="A95" s="12" t="inlineStr"/>
      <c r="B95" s="12" t="inlineStr"/>
      <c r="C95" s="12" t="inlineStr"/>
      <c r="D95" s="12" t="inlineStr"/>
      <c r="E95" s="12" t="inlineStr"/>
      <c r="F95" s="12" t="inlineStr"/>
    </row>
    <row r="96">
      <c r="A96" s="4" t="inlineStr">
        <is>
          <t>BV90</t>
        </is>
      </c>
      <c r="B96" s="4" t="inlineStr">
        <is>
          <t>Commercial Property Flag</t>
        </is>
      </c>
      <c r="C96" s="4" t="inlineStr">
        <is>
          <t>1/2</t>
        </is>
      </c>
      <c r="D96" s="4" t="inlineStr">
        <is>
          <t>commercial_property_flag</t>
        </is>
      </c>
      <c r="E96" s="4" t="inlineStr">
        <is>
          <t>Yes/No</t>
        </is>
      </c>
      <c r="F96" s="4">
        <f>IF(BoE!AQ[row]=1,"Yes","No")</f>
        <v/>
      </c>
    </row>
    <row r="97">
      <c r="A97" s="4" t="inlineStr">
        <is>
          <t>BV91</t>
        </is>
      </c>
      <c r="B97" s="4" t="inlineStr">
        <is>
          <t>Rental Income (Annual)</t>
        </is>
      </c>
      <c r="C97" s="4" t="inlineStr">
        <is>
          <t>Direct</t>
        </is>
      </c>
      <c r="D97" s="4" t="inlineStr">
        <is>
          <t>rental_income_annual</t>
        </is>
      </c>
      <c r="E97" s="4" t="inlineStr">
        <is>
          <t>Same</t>
        </is>
      </c>
      <c r="F97" s="4">
        <f>BoE!AR[row]</f>
        <v/>
      </c>
    </row>
    <row r="104">
      <c r="F104">
        <f>BoE!D[row]*(1-IF(BoE!AT[row]&lt;&gt;"Full",VLOOKUP('Control Panel'!$B$6,'Jurisdiction Parameters'!$A:$D,4,FALSE),0))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4">
      <c r="A4" s="13" t="inlineStr">
        <is>
          <t>BV1</t>
        </is>
      </c>
      <c r="B4" s="13" t="inlineStr">
        <is>
          <t>BV5</t>
        </is>
      </c>
      <c r="C4" s="13" t="inlineStr">
        <is>
          <t>BV6</t>
        </is>
      </c>
      <c r="D4" s="13" t="inlineStr">
        <is>
          <t>BV7</t>
        </is>
      </c>
      <c r="E4" s="13" t="inlineStr">
        <is>
          <t>BV8</t>
        </is>
      </c>
      <c r="F4" s="13" t="inlineStr">
        <is>
          <t>BV11</t>
        </is>
      </c>
      <c r="G4" s="13" t="inlineStr">
        <is>
          <t>BV12</t>
        </is>
      </c>
      <c r="H4" s="13" t="inlineStr">
        <is>
          <t>BV13</t>
        </is>
      </c>
      <c r="I4" s="13" t="inlineStr">
        <is>
          <t>BV22</t>
        </is>
      </c>
      <c r="J4" s="13" t="inlineStr">
        <is>
          <t>BV23</t>
        </is>
      </c>
      <c r="K4" s="13" t="inlineStr">
        <is>
          <t>BV24</t>
        </is>
      </c>
      <c r="L4" s="13" t="inlineStr">
        <is>
          <t>BV27</t>
        </is>
      </c>
      <c r="M4" s="13" t="inlineStr">
        <is>
          <t>BV28</t>
        </is>
      </c>
      <c r="N4" s="13" t="inlineStr">
        <is>
          <t>BV29</t>
        </is>
      </c>
      <c r="O4" s="13" t="inlineStr">
        <is>
          <t>BV33</t>
        </is>
      </c>
      <c r="P4" s="13" t="inlineStr">
        <is>
          <t>BV34</t>
        </is>
      </c>
      <c r="Q4" s="13" t="inlineStr">
        <is>
          <t>BV35</t>
        </is>
      </c>
      <c r="R4" s="13" t="inlineStr">
        <is>
          <t>BV40</t>
        </is>
      </c>
      <c r="S4" s="13" t="inlineStr">
        <is>
          <t>BV41</t>
        </is>
      </c>
      <c r="T4" s="13" t="inlineStr">
        <is>
          <t>BV42</t>
        </is>
      </c>
      <c r="U4" s="13" t="inlineStr">
        <is>
          <t>BV45</t>
        </is>
      </c>
      <c r="V4" s="13" t="inlineStr">
        <is>
          <t>BV46</t>
        </is>
      </c>
      <c r="W4" s="13" t="inlineStr">
        <is>
          <t>BV50</t>
        </is>
      </c>
      <c r="X4" s="13" t="inlineStr">
        <is>
          <t>BV51</t>
        </is>
      </c>
      <c r="Y4" s="13" t="inlineStr">
        <is>
          <t>BV55</t>
        </is>
      </c>
      <c r="Z4" s="13" t="inlineStr">
        <is>
          <t>BV56</t>
        </is>
      </c>
      <c r="AA4" s="13" t="inlineStr">
        <is>
          <t>BV57</t>
        </is>
      </c>
      <c r="AB4" s="13" t="inlineStr">
        <is>
          <t>BV58</t>
        </is>
      </c>
      <c r="AC4" s="13" t="inlineStr">
        <is>
          <t>BV59</t>
        </is>
      </c>
      <c r="AD4" s="13" t="inlineStr">
        <is>
          <t>BV60</t>
        </is>
      </c>
      <c r="AE4" s="13" t="inlineStr">
        <is>
          <t>BV61</t>
        </is>
      </c>
      <c r="AF4" s="13" t="inlineStr">
        <is>
          <t>BV65</t>
        </is>
      </c>
      <c r="AG4" s="13" t="inlineStr">
        <is>
          <t>BV66</t>
        </is>
      </c>
      <c r="AH4" s="13" t="inlineStr">
        <is>
          <t>BV67</t>
        </is>
      </c>
      <c r="AI4" s="13" t="inlineStr">
        <is>
          <t>BV68</t>
        </is>
      </c>
      <c r="AJ4" s="13" t="inlineStr">
        <is>
          <t>BV70</t>
        </is>
      </c>
      <c r="AK4" s="13" t="inlineStr">
        <is>
          <t>BV71</t>
        </is>
      </c>
      <c r="AL4" s="13" t="inlineStr">
        <is>
          <t>BV72</t>
        </is>
      </c>
      <c r="AM4" s="13" t="inlineStr">
        <is>
          <t>BV75</t>
        </is>
      </c>
      <c r="AN4" s="13" t="inlineStr">
        <is>
          <t>BV76</t>
        </is>
      </c>
      <c r="AO4" s="13" t="inlineStr">
        <is>
          <t>BV80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4">
      <c r="A4" s="13" t="inlineStr">
        <is>
          <t>loan_id</t>
        </is>
      </c>
      <c r="B4" s="13" t="inlineStr">
        <is>
          <t>current_balance</t>
        </is>
      </c>
      <c r="C4" s="13" t="inlineStr">
        <is>
          <t>original_balance</t>
        </is>
      </c>
      <c r="D4" s="13" t="inlineStr">
        <is>
          <t>property_value_current</t>
        </is>
      </c>
      <c r="E4" s="13" t="inlineStr">
        <is>
          <t>property_value_original</t>
        </is>
      </c>
      <c r="F4" s="13" t="inlineStr">
        <is>
          <t>origination_date</t>
        </is>
      </c>
      <c r="G4" s="13" t="inlineStr">
        <is>
          <t>maturity_date</t>
        </is>
      </c>
      <c r="H4" s="13" t="inlineStr">
        <is>
          <t>interest_rate</t>
        </is>
      </c>
      <c r="I4" s="13" t="inlineStr">
        <is>
          <t>property_type</t>
        </is>
      </c>
      <c r="J4" s="13" t="inlineStr">
        <is>
          <t>region</t>
        </is>
      </c>
      <c r="K4" s="13" t="inlineStr">
        <is>
          <t>postcode</t>
        </is>
      </c>
      <c r="L4" s="13" t="inlineStr">
        <is>
          <t>occupancy_type</t>
        </is>
      </c>
      <c r="M4" s="13" t="inlineStr">
        <is>
          <t>loan_purpose</t>
        </is>
      </c>
      <c r="N4" s="13" t="inlineStr">
        <is>
          <t>product_type</t>
        </is>
      </c>
      <c r="O4" s="13" t="inlineStr">
        <is>
          <t>right_to_buy_flag</t>
        </is>
      </c>
      <c r="P4" s="13" t="inlineStr">
        <is>
          <t>shared_ownership_flag</t>
        </is>
      </c>
      <c r="Q4" s="13" t="inlineStr">
        <is>
          <t>help_to_buy_flag</t>
        </is>
      </c>
      <c r="R4" s="13" t="inlineStr">
        <is>
          <t>borrower1_income</t>
        </is>
      </c>
      <c r="S4" s="13" t="inlineStr">
        <is>
          <t>borrower2_income</t>
        </is>
      </c>
      <c r="T4" s="13" t="inlineStr">
        <is>
          <t>num_borrowers</t>
        </is>
      </c>
      <c r="U4" s="13" t="inlineStr">
        <is>
          <t>total_income</t>
        </is>
      </c>
      <c r="V4" s="13" t="inlineStr">
        <is>
          <t>employment_status_borr1</t>
        </is>
      </c>
      <c r="W4" s="13" t="inlineStr">
        <is>
          <t>employment_status_borr2</t>
        </is>
      </c>
      <c r="X4" s="13" t="inlineStr">
        <is>
          <t>self_employed_flag</t>
        </is>
      </c>
      <c r="Y4" s="13" t="inlineStr">
        <is>
          <t>credit_score_borr1</t>
        </is>
      </c>
      <c r="Z4" s="13" t="inlineStr">
        <is>
          <t>credit_score_borr2</t>
        </is>
      </c>
      <c r="AA4" s="13" t="inlineStr">
        <is>
          <t>credit_score</t>
        </is>
      </c>
      <c r="AB4" s="13" t="inlineStr">
        <is>
          <t>ccj_count_borr1</t>
        </is>
      </c>
      <c r="AC4" s="13" t="inlineStr">
        <is>
          <t>ccj_count_borr2</t>
        </is>
      </c>
      <c r="AD4" s="13" t="inlineStr">
        <is>
          <t>ccj_count</t>
        </is>
      </c>
      <c r="AE4" s="13" t="inlineStr">
        <is>
          <t>ccj_value_borr1</t>
        </is>
      </c>
      <c r="AF4" s="13" t="inlineStr">
        <is>
          <t>ccj_value_borr2</t>
        </is>
      </c>
      <c r="AG4" s="13" t="inlineStr">
        <is>
          <t>ccj_total_value</t>
        </is>
      </c>
      <c r="AH4" s="13" t="inlineStr">
        <is>
          <t>ccj_date_most_recent</t>
        </is>
      </c>
      <c r="AI4" s="13" t="inlineStr">
        <is>
          <t>arrears_balance</t>
        </is>
      </c>
      <c r="AJ4" s="13" t="inlineStr">
        <is>
          <t>monthly_payment</t>
        </is>
      </c>
      <c r="AK4" s="13" t="inlineStr">
        <is>
          <t>arrears_months</t>
        </is>
      </c>
      <c r="AL4" s="13" t="inlineStr">
        <is>
          <t>bankruptcy_flag</t>
        </is>
      </c>
      <c r="AM4" s="13" t="inlineStr">
        <is>
          <t>iva_flag</t>
        </is>
      </c>
      <c r="AN4" s="13" t="inlineStr">
        <is>
          <t>prior_repossession_flag</t>
        </is>
      </c>
      <c r="AO4" s="13" t="inlineStr">
        <is>
          <t>self_certified_flag</t>
        </is>
      </c>
      <c r="AP4" s="13" t="inlineStr">
        <is>
          <t>first_time_buyer_flag</t>
        </is>
      </c>
      <c r="AQ4" s="13" t="inlineStr">
        <is>
          <t>payment_shock_flag</t>
        </is>
      </c>
      <c r="AR4" s="13" t="inlineStr">
        <is>
          <t>reperforming_flag</t>
        </is>
      </c>
      <c r="AS4" s="13" t="inlineStr">
        <is>
          <t>date_last_90dpd</t>
        </is>
      </c>
      <c r="AT4" s="13" t="inlineStr">
        <is>
          <t>lien_position</t>
        </is>
      </c>
      <c r="AU4" s="13" t="inlineStr">
        <is>
          <t>valuation_type</t>
        </is>
      </c>
      <c r="AV4" s="13" t="inlineStr">
        <is>
          <t>commercial_property_flag</t>
        </is>
      </c>
      <c r="AW4" s="13" t="inlineStr">
        <is>
          <t>rental_income_annual</t>
        </is>
      </c>
    </row>
    <row r="5">
      <c r="A5" s="17">
        <f>'Loan Tape (BoE)'!A6</f>
        <v/>
      </c>
      <c r="B5" s="18">
        <f>'Loan Tape (BoE)'!B6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IFERROR(IFS('Loan Tape (BoE)'!N6=1,"Repayment",'Loan Tape (BoE)'!N6=2,"Interest Only",'Loan Tape (BoE)'!N6=3,"Part &amp; Part"),"")</f>
        <v/>
      </c>
      <c r="O5" s="17">
        <f>IF('Loan Tape (BoE)'!O6=1,"Yes","No")</f>
        <v/>
      </c>
      <c r="P5" s="17">
        <f>IF('Loan Tape (BoE)'!P6=1,"Yes","No")</f>
        <v/>
      </c>
      <c r="Q5" s="17">
        <f>IF('Loan Tape (BoE)'!Q6=1,"Yes","No")</f>
        <v/>
      </c>
      <c r="R5" s="18">
        <f>'Loan Tape (BoE)'!R6</f>
        <v/>
      </c>
      <c r="S5" s="18">
        <f>'Loan Tape (BoE)'!S6</f>
        <v/>
      </c>
      <c r="T5" s="17">
        <f>'Loan Tape (BoE)'!T6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 t="n"/>
      <c r="AQ5" s="17" t="n"/>
      <c r="AR5" s="17" t="n"/>
      <c r="AS5" s="17" t="n"/>
      <c r="AT5" s="17" t="n"/>
      <c r="AU5" s="17" t="n"/>
      <c r="AV5" s="17" t="n"/>
      <c r="AW5" s="17" t="n"/>
    </row>
    <row r="6">
      <c r="A6" s="17">
        <f>'Loan Tape (BoE)'!A7</f>
        <v/>
      </c>
      <c r="B6" s="18">
        <f>'Loan Tape (BoE)'!B7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IFERROR(IFS('Loan Tape (BoE)'!N7=1,"Repayment",'Loan Tape (BoE)'!N7=2,"Interest Only",'Loan Tape (BoE)'!N7=3,"Part &amp; Part"),"")</f>
        <v/>
      </c>
      <c r="O6" s="17">
        <f>IF('Loan Tape (BoE)'!O7=1,"Yes","No")</f>
        <v/>
      </c>
      <c r="P6" s="17">
        <f>IF('Loan Tape (BoE)'!P7=1,"Yes","No")</f>
        <v/>
      </c>
      <c r="Q6" s="17">
        <f>IF('Loan Tape (BoE)'!Q7=1,"Yes","No")</f>
        <v/>
      </c>
      <c r="R6" s="18">
        <f>'Loan Tape (BoE)'!R7</f>
        <v/>
      </c>
      <c r="S6" s="18">
        <f>'Loan Tape (BoE)'!S7</f>
        <v/>
      </c>
      <c r="T6" s="17">
        <f>'Loan Tape (BoE)'!T7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 t="n"/>
      <c r="AQ6" s="17" t="n"/>
      <c r="AR6" s="17" t="n"/>
      <c r="AS6" s="17" t="n"/>
      <c r="AT6" s="17" t="n"/>
      <c r="AU6" s="17" t="n"/>
      <c r="AV6" s="17" t="n"/>
      <c r="AW6" s="17" t="n"/>
    </row>
    <row r="7">
      <c r="A7" s="17">
        <f>'Loan Tape (BoE)'!A8</f>
        <v/>
      </c>
      <c r="B7" s="18">
        <f>'Loan Tape (BoE)'!B8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IFERROR(IFS('Loan Tape (BoE)'!N8=1,"Repayment",'Loan Tape (BoE)'!N8=2,"Interest Only",'Loan Tape (BoE)'!N8=3,"Part &amp; Part"),"")</f>
        <v/>
      </c>
      <c r="O7" s="17">
        <f>IF('Loan Tape (BoE)'!O8=1,"Yes","No")</f>
        <v/>
      </c>
      <c r="P7" s="17">
        <f>IF('Loan Tape (BoE)'!P8=1,"Yes","No")</f>
        <v/>
      </c>
      <c r="Q7" s="17">
        <f>IF('Loan Tape (BoE)'!Q8=1,"Yes","No")</f>
        <v/>
      </c>
      <c r="R7" s="18">
        <f>'Loan Tape (BoE)'!R8</f>
        <v/>
      </c>
      <c r="S7" s="18">
        <f>'Loan Tape (BoE)'!S8</f>
        <v/>
      </c>
      <c r="T7" s="17">
        <f>'Loan Tape (BoE)'!T8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 t="n"/>
      <c r="AQ7" s="17" t="n"/>
      <c r="AR7" s="17" t="n"/>
      <c r="AS7" s="17" t="n"/>
      <c r="AT7" s="17" t="n"/>
      <c r="AU7" s="17" t="n"/>
      <c r="AV7" s="17" t="n"/>
      <c r="AW7" s="17" t="n"/>
    </row>
    <row r="8">
      <c r="A8" s="17">
        <f>'Loan Tape (BoE)'!A9</f>
        <v/>
      </c>
      <c r="B8" s="18">
        <f>'Loan Tape (BoE)'!B9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IFERROR(IFS('Loan Tape (BoE)'!N9=1,"Repayment",'Loan Tape (BoE)'!N9=2,"Interest Only",'Loan Tape (BoE)'!N9=3,"Part &amp; Part"),"")</f>
        <v/>
      </c>
      <c r="O8" s="17">
        <f>IF('Loan Tape (BoE)'!O9=1,"Yes","No")</f>
        <v/>
      </c>
      <c r="P8" s="17">
        <f>IF('Loan Tape (BoE)'!P9=1,"Yes","No")</f>
        <v/>
      </c>
      <c r="Q8" s="17">
        <f>IF('Loan Tape (BoE)'!Q9=1,"Yes","No")</f>
        <v/>
      </c>
      <c r="R8" s="18">
        <f>'Loan Tape (BoE)'!R9</f>
        <v/>
      </c>
      <c r="S8" s="18">
        <f>'Loan Tape (BoE)'!S9</f>
        <v/>
      </c>
      <c r="T8" s="17">
        <f>'Loan Tape (BoE)'!T9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 t="n"/>
      <c r="AQ8" s="17" t="n"/>
      <c r="AR8" s="17" t="n"/>
      <c r="AS8" s="17" t="n"/>
      <c r="AT8" s="17" t="n"/>
      <c r="AU8" s="17" t="n"/>
      <c r="AV8" s="17" t="n"/>
      <c r="AW8" s="17" t="n"/>
    </row>
    <row r="9">
      <c r="A9" s="17">
        <f>'Loan Tape (BoE)'!A10</f>
        <v/>
      </c>
      <c r="B9" s="18">
        <f>'Loan Tape (BoE)'!B10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IFERROR(IFS('Loan Tape (BoE)'!N10=1,"Repayment",'Loan Tape (BoE)'!N10=2,"Interest Only",'Loan Tape (BoE)'!N10=3,"Part &amp; Part"),"")</f>
        <v/>
      </c>
      <c r="O9" s="17">
        <f>IF('Loan Tape (BoE)'!O10=1,"Yes","No")</f>
        <v/>
      </c>
      <c r="P9" s="17">
        <f>IF('Loan Tape (BoE)'!P10=1,"Yes","No")</f>
        <v/>
      </c>
      <c r="Q9" s="17">
        <f>IF('Loan Tape (BoE)'!Q10=1,"Yes","No")</f>
        <v/>
      </c>
      <c r="R9" s="18">
        <f>'Loan Tape (BoE)'!R10</f>
        <v/>
      </c>
      <c r="S9" s="18">
        <f>'Loan Tape (BoE)'!S10</f>
        <v/>
      </c>
      <c r="T9" s="17">
        <f>'Loan Tape (BoE)'!T10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 t="n"/>
      <c r="AQ9" s="17" t="n"/>
      <c r="AR9" s="17" t="n"/>
      <c r="AS9" s="17" t="n"/>
      <c r="AT9" s="17" t="n"/>
      <c r="AU9" s="17" t="n"/>
      <c r="AV9" s="17" t="n"/>
      <c r="AW9" s="17" t="n"/>
    </row>
    <row r="10">
      <c r="A10" s="17">
        <f>'Loan Tape (BoE)'!A11</f>
        <v/>
      </c>
      <c r="B10" s="18">
        <f>'Loan Tape (BoE)'!B11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IFERROR(IFS('Loan Tape (BoE)'!N11=1,"Repayment",'Loan Tape (BoE)'!N11=2,"Interest Only",'Loan Tape (BoE)'!N11=3,"Part &amp; Part"),"")</f>
        <v/>
      </c>
      <c r="O10" s="17">
        <f>IF('Loan Tape (BoE)'!O11=1,"Yes","No")</f>
        <v/>
      </c>
      <c r="P10" s="17">
        <f>IF('Loan Tape (BoE)'!P11=1,"Yes","No")</f>
        <v/>
      </c>
      <c r="Q10" s="17">
        <f>IF('Loan Tape (BoE)'!Q11=1,"Yes","No")</f>
        <v/>
      </c>
      <c r="R10" s="18">
        <f>'Loan Tape (BoE)'!R11</f>
        <v/>
      </c>
      <c r="S10" s="18">
        <f>'Loan Tape (BoE)'!S11</f>
        <v/>
      </c>
      <c r="T10" s="17">
        <f>'Loan Tape (BoE)'!T11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 t="n"/>
      <c r="AQ10" s="17" t="n"/>
      <c r="AR10" s="17" t="n"/>
      <c r="AS10" s="17" t="n"/>
      <c r="AT10" s="17" t="n"/>
      <c r="AU10" s="17" t="n"/>
      <c r="AV10" s="17" t="n"/>
      <c r="AW10" s="17" t="n"/>
    </row>
    <row r="11">
      <c r="A11" s="17">
        <f>'Loan Tape (BoE)'!A12</f>
        <v/>
      </c>
      <c r="B11" s="18">
        <f>'Loan Tape (BoE)'!B12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IFERROR(IFS('Loan Tape (BoE)'!N12=1,"Repayment",'Loan Tape (BoE)'!N12=2,"Interest Only",'Loan Tape (BoE)'!N12=3,"Part &amp; Part"),"")</f>
        <v/>
      </c>
      <c r="O11" s="17">
        <f>IF('Loan Tape (BoE)'!O12=1,"Yes","No")</f>
        <v/>
      </c>
      <c r="P11" s="17">
        <f>IF('Loan Tape (BoE)'!P12=1,"Yes","No")</f>
        <v/>
      </c>
      <c r="Q11" s="17">
        <f>IF('Loan Tape (BoE)'!Q12=1,"Yes","No")</f>
        <v/>
      </c>
      <c r="R11" s="18">
        <f>'Loan Tape (BoE)'!R12</f>
        <v/>
      </c>
      <c r="S11" s="18">
        <f>'Loan Tape (BoE)'!S12</f>
        <v/>
      </c>
      <c r="T11" s="17">
        <f>'Loan Tape (BoE)'!T12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 t="n"/>
      <c r="AQ11" s="17" t="n"/>
      <c r="AR11" s="17" t="n"/>
      <c r="AS11" s="17" t="n"/>
      <c r="AT11" s="17" t="n"/>
      <c r="AU11" s="17" t="n"/>
      <c r="AV11" s="17" t="n"/>
      <c r="AW11" s="17" t="n"/>
    </row>
    <row r="12">
      <c r="A12" s="17">
        <f>'Loan Tape (BoE)'!A13</f>
        <v/>
      </c>
      <c r="B12" s="18">
        <f>'Loan Tape (BoE)'!B13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IFERROR(IFS('Loan Tape (BoE)'!N13=1,"Repayment",'Loan Tape (BoE)'!N13=2,"Interest Only",'Loan Tape (BoE)'!N13=3,"Part &amp; Part"),"")</f>
        <v/>
      </c>
      <c r="O12" s="17">
        <f>IF('Loan Tape (BoE)'!O13=1,"Yes","No")</f>
        <v/>
      </c>
      <c r="P12" s="17">
        <f>IF('Loan Tape (BoE)'!P13=1,"Yes","No")</f>
        <v/>
      </c>
      <c r="Q12" s="17">
        <f>IF('Loan Tape (BoE)'!Q13=1,"Yes","No")</f>
        <v/>
      </c>
      <c r="R12" s="18">
        <f>'Loan Tape (BoE)'!R13</f>
        <v/>
      </c>
      <c r="S12" s="18">
        <f>'Loan Tape (BoE)'!S13</f>
        <v/>
      </c>
      <c r="T12" s="17">
        <f>'Loan Tape (BoE)'!T13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 t="n"/>
      <c r="AQ12" s="17" t="n"/>
      <c r="AR12" s="17" t="n"/>
      <c r="AS12" s="17" t="n"/>
      <c r="AT12" s="17" t="n"/>
      <c r="AU12" s="17" t="n"/>
      <c r="AV12" s="17" t="n"/>
      <c r="AW12" s="17" t="n"/>
    </row>
    <row r="13">
      <c r="A13" s="17">
        <f>'Loan Tape (BoE)'!A14</f>
        <v/>
      </c>
      <c r="B13" s="18">
        <f>'Loan Tape (BoE)'!B14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IFERROR(IFS('Loan Tape (BoE)'!N14=1,"Repayment",'Loan Tape (BoE)'!N14=2,"Interest Only",'Loan Tape (BoE)'!N14=3,"Part &amp; Part"),"")</f>
        <v/>
      </c>
      <c r="O13" s="17">
        <f>IF('Loan Tape (BoE)'!O14=1,"Yes","No")</f>
        <v/>
      </c>
      <c r="P13" s="17">
        <f>IF('Loan Tape (BoE)'!P14=1,"Yes","No")</f>
        <v/>
      </c>
      <c r="Q13" s="17">
        <f>IF('Loan Tape (BoE)'!Q14=1,"Yes","No")</f>
        <v/>
      </c>
      <c r="R13" s="18">
        <f>'Loan Tape (BoE)'!R14</f>
        <v/>
      </c>
      <c r="S13" s="18">
        <f>'Loan Tape (BoE)'!S14</f>
        <v/>
      </c>
      <c r="T13" s="17">
        <f>'Loan Tape (BoE)'!T14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 t="n"/>
      <c r="AQ13" s="17" t="n"/>
      <c r="AR13" s="17" t="n"/>
      <c r="AS13" s="17" t="n"/>
      <c r="AT13" s="17" t="n"/>
      <c r="AU13" s="17" t="n"/>
      <c r="AV13" s="17" t="n"/>
      <c r="AW13" s="17" t="n"/>
    </row>
    <row r="14">
      <c r="A14" s="17">
        <f>'Loan Tape (BoE)'!A15</f>
        <v/>
      </c>
      <c r="B14" s="18">
        <f>'Loan Tape (BoE)'!B15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IFERROR(IFS('Loan Tape (BoE)'!N15=1,"Repayment",'Loan Tape (BoE)'!N15=2,"Interest Only",'Loan Tape (BoE)'!N15=3,"Part &amp; Part"),"")</f>
        <v/>
      </c>
      <c r="O14" s="17">
        <f>IF('Loan Tape (BoE)'!O15=1,"Yes","No")</f>
        <v/>
      </c>
      <c r="P14" s="17">
        <f>IF('Loan Tape (BoE)'!P15=1,"Yes","No")</f>
        <v/>
      </c>
      <c r="Q14" s="17">
        <f>IF('Loan Tape (BoE)'!Q15=1,"Yes","No")</f>
        <v/>
      </c>
      <c r="R14" s="18">
        <f>'Loan Tape (BoE)'!R15</f>
        <v/>
      </c>
      <c r="S14" s="18">
        <f>'Loan Tape (BoE)'!S15</f>
        <v/>
      </c>
      <c r="T14" s="17">
        <f>'Loan Tape (BoE)'!T15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 t="n"/>
      <c r="AQ14" s="17" t="n"/>
      <c r="AR14" s="17" t="n"/>
      <c r="AS14" s="17" t="n"/>
      <c r="AT14" s="17" t="n"/>
      <c r="AU14" s="17" t="n"/>
      <c r="AV14" s="17" t="n"/>
      <c r="AW14" s="17" t="n"/>
    </row>
    <row r="15">
      <c r="A15" s="17">
        <f>'Loan Tape (BoE)'!A16</f>
        <v/>
      </c>
      <c r="B15" s="18">
        <f>'Loan Tape (BoE)'!B16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IFERROR(IFS('Loan Tape (BoE)'!N16=1,"Repayment",'Loan Tape (BoE)'!N16=2,"Interest Only",'Loan Tape (BoE)'!N16=3,"Part &amp; Part"),"")</f>
        <v/>
      </c>
      <c r="O15" s="17">
        <f>IF('Loan Tape (BoE)'!O16=1,"Yes","No")</f>
        <v/>
      </c>
      <c r="P15" s="17">
        <f>IF('Loan Tape (BoE)'!P16=1,"Yes","No")</f>
        <v/>
      </c>
      <c r="Q15" s="17">
        <f>IF('Loan Tape (BoE)'!Q16=1,"Yes","No")</f>
        <v/>
      </c>
      <c r="R15" s="18">
        <f>'Loan Tape (BoE)'!R16</f>
        <v/>
      </c>
      <c r="S15" s="18">
        <f>'Loan Tape (BoE)'!S16</f>
        <v/>
      </c>
      <c r="T15" s="17">
        <f>'Loan Tape (BoE)'!T16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 t="n"/>
      <c r="AQ15" s="17" t="n"/>
      <c r="AR15" s="17" t="n"/>
      <c r="AS15" s="17" t="n"/>
      <c r="AT15" s="17" t="n"/>
      <c r="AU15" s="17" t="n"/>
      <c r="AV15" s="17" t="n"/>
      <c r="AW15" s="17" t="n"/>
    </row>
    <row r="16">
      <c r="A16" s="17">
        <f>'Loan Tape (BoE)'!A17</f>
        <v/>
      </c>
      <c r="B16" s="18">
        <f>'Loan Tape (BoE)'!B17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IFERROR(IFS('Loan Tape (BoE)'!N17=1,"Repayment",'Loan Tape (BoE)'!N17=2,"Interest Only",'Loan Tape (BoE)'!N17=3,"Part &amp; Part"),"")</f>
        <v/>
      </c>
      <c r="O16" s="17">
        <f>IF('Loan Tape (BoE)'!O17=1,"Yes","No")</f>
        <v/>
      </c>
      <c r="P16" s="17">
        <f>IF('Loan Tape (BoE)'!P17=1,"Yes","No")</f>
        <v/>
      </c>
      <c r="Q16" s="17">
        <f>IF('Loan Tape (BoE)'!Q17=1,"Yes","No")</f>
        <v/>
      </c>
      <c r="R16" s="18">
        <f>'Loan Tape (BoE)'!R17</f>
        <v/>
      </c>
      <c r="S16" s="18">
        <f>'Loan Tape (BoE)'!S17</f>
        <v/>
      </c>
      <c r="T16" s="17">
        <f>'Loan Tape (BoE)'!T17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 t="n"/>
      <c r="AQ16" s="17" t="n"/>
      <c r="AR16" s="17" t="n"/>
      <c r="AS16" s="17" t="n"/>
      <c r="AT16" s="17" t="n"/>
      <c r="AU16" s="17" t="n"/>
      <c r="AV16" s="17" t="n"/>
      <c r="AW16" s="17" t="n"/>
    </row>
    <row r="17">
      <c r="A17" s="17">
        <f>'Loan Tape (BoE)'!A18</f>
        <v/>
      </c>
      <c r="B17" s="18">
        <f>'Loan Tape (BoE)'!B18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IFERROR(IFS('Loan Tape (BoE)'!N18=1,"Repayment",'Loan Tape (BoE)'!N18=2,"Interest Only",'Loan Tape (BoE)'!N18=3,"Part &amp; Part"),"")</f>
        <v/>
      </c>
      <c r="O17" s="17">
        <f>IF('Loan Tape (BoE)'!O18=1,"Yes","No")</f>
        <v/>
      </c>
      <c r="P17" s="17">
        <f>IF('Loan Tape (BoE)'!P18=1,"Yes","No")</f>
        <v/>
      </c>
      <c r="Q17" s="17">
        <f>IF('Loan Tape (BoE)'!Q18=1,"Yes","No")</f>
        <v/>
      </c>
      <c r="R17" s="18">
        <f>'Loan Tape (BoE)'!R18</f>
        <v/>
      </c>
      <c r="S17" s="18">
        <f>'Loan Tape (BoE)'!S18</f>
        <v/>
      </c>
      <c r="T17" s="17">
        <f>'Loan Tape (BoE)'!T18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 t="n"/>
      <c r="AQ17" s="17" t="n"/>
      <c r="AR17" s="17" t="n"/>
      <c r="AS17" s="17" t="n"/>
      <c r="AT17" s="17" t="n"/>
      <c r="AU17" s="17" t="n"/>
      <c r="AV17" s="17" t="n"/>
      <c r="AW17" s="17" t="n"/>
    </row>
    <row r="18">
      <c r="A18" s="17">
        <f>'Loan Tape (BoE)'!A19</f>
        <v/>
      </c>
      <c r="B18" s="18">
        <f>'Loan Tape (BoE)'!B19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IFERROR(IFS('Loan Tape (BoE)'!N19=1,"Repayment",'Loan Tape (BoE)'!N19=2,"Interest Only",'Loan Tape (BoE)'!N19=3,"Part &amp; Part"),"")</f>
        <v/>
      </c>
      <c r="O18" s="17">
        <f>IF('Loan Tape (BoE)'!O19=1,"Yes","No")</f>
        <v/>
      </c>
      <c r="P18" s="17">
        <f>IF('Loan Tape (BoE)'!P19=1,"Yes","No")</f>
        <v/>
      </c>
      <c r="Q18" s="17">
        <f>IF('Loan Tape (BoE)'!Q19=1,"Yes","No")</f>
        <v/>
      </c>
      <c r="R18" s="18">
        <f>'Loan Tape (BoE)'!R19</f>
        <v/>
      </c>
      <c r="S18" s="18">
        <f>'Loan Tape (BoE)'!S19</f>
        <v/>
      </c>
      <c r="T18" s="17">
        <f>'Loan Tape (BoE)'!T19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 t="n"/>
      <c r="AQ18" s="17" t="n"/>
      <c r="AR18" s="17" t="n"/>
      <c r="AS18" s="17" t="n"/>
      <c r="AT18" s="17" t="n"/>
      <c r="AU18" s="17" t="n"/>
      <c r="AV18" s="17" t="n"/>
      <c r="AW18" s="17" t="n"/>
    </row>
    <row r="19">
      <c r="A19" s="17">
        <f>'Loan Tape (BoE)'!A20</f>
        <v/>
      </c>
      <c r="B19" s="18">
        <f>'Loan Tape (BoE)'!B20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IFERROR(IFS('Loan Tape (BoE)'!N20=1,"Repayment",'Loan Tape (BoE)'!N20=2,"Interest Only",'Loan Tape (BoE)'!N20=3,"Part &amp; Part"),"")</f>
        <v/>
      </c>
      <c r="O19" s="17">
        <f>IF('Loan Tape (BoE)'!O20=1,"Yes","No")</f>
        <v/>
      </c>
      <c r="P19" s="17">
        <f>IF('Loan Tape (BoE)'!P20=1,"Yes","No")</f>
        <v/>
      </c>
      <c r="Q19" s="17">
        <f>IF('Loan Tape (BoE)'!Q20=1,"Yes","No")</f>
        <v/>
      </c>
      <c r="R19" s="18">
        <f>'Loan Tape (BoE)'!R20</f>
        <v/>
      </c>
      <c r="S19" s="18">
        <f>'Loan Tape (BoE)'!S20</f>
        <v/>
      </c>
      <c r="T19" s="17">
        <f>'Loan Tape (BoE)'!T20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 t="n"/>
      <c r="AQ19" s="17" t="n"/>
      <c r="AR19" s="17" t="n"/>
      <c r="AS19" s="17" t="n"/>
      <c r="AT19" s="17" t="n"/>
      <c r="AU19" s="17" t="n"/>
      <c r="AV19" s="17" t="n"/>
      <c r="AW19" s="17" t="n"/>
    </row>
    <row r="20">
      <c r="A20" s="17">
        <f>'Loan Tape (BoE)'!A21</f>
        <v/>
      </c>
      <c r="B20" s="18">
        <f>'Loan Tape (BoE)'!B21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IFERROR(IFS('Loan Tape (BoE)'!N21=1,"Repayment",'Loan Tape (BoE)'!N21=2,"Interest Only",'Loan Tape (BoE)'!N21=3,"Part &amp; Part"),"")</f>
        <v/>
      </c>
      <c r="O20" s="17">
        <f>IF('Loan Tape (BoE)'!O21=1,"Yes","No")</f>
        <v/>
      </c>
      <c r="P20" s="17">
        <f>IF('Loan Tape (BoE)'!P21=1,"Yes","No")</f>
        <v/>
      </c>
      <c r="Q20" s="17">
        <f>IF('Loan Tape (BoE)'!Q21=1,"Yes","No")</f>
        <v/>
      </c>
      <c r="R20" s="18">
        <f>'Loan Tape (BoE)'!R21</f>
        <v/>
      </c>
      <c r="S20" s="18">
        <f>'Loan Tape (BoE)'!S21</f>
        <v/>
      </c>
      <c r="T20" s="17">
        <f>'Loan Tape (BoE)'!T21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 t="n"/>
      <c r="AQ20" s="17" t="n"/>
      <c r="AR20" s="17" t="n"/>
      <c r="AS20" s="17" t="n"/>
      <c r="AT20" s="17" t="n"/>
      <c r="AU20" s="17" t="n"/>
      <c r="AV20" s="17" t="n"/>
      <c r="AW20" s="17" t="n"/>
    </row>
    <row r="21">
      <c r="A21" s="17">
        <f>'Loan Tape (BoE)'!A22</f>
        <v/>
      </c>
      <c r="B21" s="18">
        <f>'Loan Tape (BoE)'!B22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IFERROR(IFS('Loan Tape (BoE)'!N22=1,"Repayment",'Loan Tape (BoE)'!N22=2,"Interest Only",'Loan Tape (BoE)'!N22=3,"Part &amp; Part"),"")</f>
        <v/>
      </c>
      <c r="O21" s="17">
        <f>IF('Loan Tape (BoE)'!O22=1,"Yes","No")</f>
        <v/>
      </c>
      <c r="P21" s="17">
        <f>IF('Loan Tape (BoE)'!P22=1,"Yes","No")</f>
        <v/>
      </c>
      <c r="Q21" s="17">
        <f>IF('Loan Tape (BoE)'!Q22=1,"Yes","No")</f>
        <v/>
      </c>
      <c r="R21" s="18">
        <f>'Loan Tape (BoE)'!R22</f>
        <v/>
      </c>
      <c r="S21" s="18">
        <f>'Loan Tape (BoE)'!S22</f>
        <v/>
      </c>
      <c r="T21" s="17">
        <f>'Loan Tape (BoE)'!T22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 t="n"/>
      <c r="AQ21" s="17" t="n"/>
      <c r="AR21" s="17" t="n"/>
      <c r="AS21" s="17" t="n"/>
      <c r="AT21" s="17" t="n"/>
      <c r="AU21" s="17" t="n"/>
      <c r="AV21" s="17" t="n"/>
      <c r="AW21" s="17" t="n"/>
    </row>
    <row r="22">
      <c r="A22" s="17">
        <f>'Loan Tape (BoE)'!A23</f>
        <v/>
      </c>
      <c r="B22" s="18">
        <f>'Loan Tape (BoE)'!B23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IFERROR(IFS('Loan Tape (BoE)'!N23=1,"Repayment",'Loan Tape (BoE)'!N23=2,"Interest Only",'Loan Tape (BoE)'!N23=3,"Part &amp; Part"),"")</f>
        <v/>
      </c>
      <c r="O22" s="17">
        <f>IF('Loan Tape (BoE)'!O23=1,"Yes","No")</f>
        <v/>
      </c>
      <c r="P22" s="17">
        <f>IF('Loan Tape (BoE)'!P23=1,"Yes","No")</f>
        <v/>
      </c>
      <c r="Q22" s="17">
        <f>IF('Loan Tape (BoE)'!Q23=1,"Yes","No")</f>
        <v/>
      </c>
      <c r="R22" s="18">
        <f>'Loan Tape (BoE)'!R23</f>
        <v/>
      </c>
      <c r="S22" s="18">
        <f>'Loan Tape (BoE)'!S23</f>
        <v/>
      </c>
      <c r="T22" s="17">
        <f>'Loan Tape (BoE)'!T23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 t="n"/>
      <c r="AQ22" s="17" t="n"/>
      <c r="AR22" s="17" t="n"/>
      <c r="AS22" s="17" t="n"/>
      <c r="AT22" s="17" t="n"/>
      <c r="AU22" s="17" t="n"/>
      <c r="AV22" s="17" t="n"/>
      <c r="AW22" s="17" t="n"/>
    </row>
    <row r="23">
      <c r="A23" s="17">
        <f>'Loan Tape (BoE)'!A24</f>
        <v/>
      </c>
      <c r="B23" s="18">
        <f>'Loan Tape (BoE)'!B24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IFERROR(IFS('Loan Tape (BoE)'!N24=1,"Repayment",'Loan Tape (BoE)'!N24=2,"Interest Only",'Loan Tape (BoE)'!N24=3,"Part &amp; Part"),"")</f>
        <v/>
      </c>
      <c r="O23" s="17">
        <f>IF('Loan Tape (BoE)'!O24=1,"Yes","No")</f>
        <v/>
      </c>
      <c r="P23" s="17">
        <f>IF('Loan Tape (BoE)'!P24=1,"Yes","No")</f>
        <v/>
      </c>
      <c r="Q23" s="17">
        <f>IF('Loan Tape (BoE)'!Q24=1,"Yes","No")</f>
        <v/>
      </c>
      <c r="R23" s="18">
        <f>'Loan Tape (BoE)'!R24</f>
        <v/>
      </c>
      <c r="S23" s="18">
        <f>'Loan Tape (BoE)'!S24</f>
        <v/>
      </c>
      <c r="T23" s="17">
        <f>'Loan Tape (BoE)'!T24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 t="n"/>
      <c r="AQ23" s="17" t="n"/>
      <c r="AR23" s="17" t="n"/>
      <c r="AS23" s="17" t="n"/>
      <c r="AT23" s="17" t="n"/>
      <c r="AU23" s="17" t="n"/>
      <c r="AV23" s="17" t="n"/>
      <c r="AW23" s="17" t="n"/>
    </row>
    <row r="24">
      <c r="A24" s="17">
        <f>'Loan Tape (BoE)'!A25</f>
        <v/>
      </c>
      <c r="B24" s="18">
        <f>'Loan Tape (BoE)'!B25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IFERROR(IFS('Loan Tape (BoE)'!N25=1,"Repayment",'Loan Tape (BoE)'!N25=2,"Interest Only",'Loan Tape (BoE)'!N25=3,"Part &amp; Part"),"")</f>
        <v/>
      </c>
      <c r="O24" s="17">
        <f>IF('Loan Tape (BoE)'!O25=1,"Yes","No")</f>
        <v/>
      </c>
      <c r="P24" s="17">
        <f>IF('Loan Tape (BoE)'!P25=1,"Yes","No")</f>
        <v/>
      </c>
      <c r="Q24" s="17">
        <f>IF('Loan Tape (BoE)'!Q25=1,"Yes","No")</f>
        <v/>
      </c>
      <c r="R24" s="18">
        <f>'Loan Tape (BoE)'!R25</f>
        <v/>
      </c>
      <c r="S24" s="18">
        <f>'Loan Tape (BoE)'!S25</f>
        <v/>
      </c>
      <c r="T24" s="17">
        <f>'Loan Tape (BoE)'!T25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 t="n"/>
      <c r="AQ24" s="17" t="n"/>
      <c r="AR24" s="17" t="n"/>
      <c r="AS24" s="17" t="n"/>
      <c r="AT24" s="17" t="n"/>
      <c r="AU24" s="17" t="n"/>
      <c r="AV24" s="17" t="n"/>
      <c r="AW24" s="17" t="n"/>
    </row>
    <row r="25">
      <c r="A25" s="17">
        <f>'Loan Tape (BoE)'!A26</f>
        <v/>
      </c>
      <c r="B25" s="18">
        <f>'Loan Tape (BoE)'!B26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IFERROR(IFS('Loan Tape (BoE)'!N26=1,"Repayment",'Loan Tape (BoE)'!N26=2,"Interest Only",'Loan Tape (BoE)'!N26=3,"Part &amp; Part"),"")</f>
        <v/>
      </c>
      <c r="O25" s="17">
        <f>IF('Loan Tape (BoE)'!O26=1,"Yes","No")</f>
        <v/>
      </c>
      <c r="P25" s="17">
        <f>IF('Loan Tape (BoE)'!P26=1,"Yes","No")</f>
        <v/>
      </c>
      <c r="Q25" s="17">
        <f>IF('Loan Tape (BoE)'!Q26=1,"Yes","No")</f>
        <v/>
      </c>
      <c r="R25" s="18">
        <f>'Loan Tape (BoE)'!R26</f>
        <v/>
      </c>
      <c r="S25" s="18">
        <f>'Loan Tape (BoE)'!S26</f>
        <v/>
      </c>
      <c r="T25" s="17">
        <f>'Loan Tape (BoE)'!T26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 t="n"/>
      <c r="AQ25" s="17" t="n"/>
      <c r="AR25" s="17" t="n"/>
      <c r="AS25" s="17" t="n"/>
      <c r="AT25" s="17" t="n"/>
      <c r="AU25" s="17" t="n"/>
      <c r="AV25" s="17" t="n"/>
      <c r="AW25" s="17" t="n"/>
    </row>
    <row r="26">
      <c r="A26" s="17">
        <f>'Loan Tape (BoE)'!A27</f>
        <v/>
      </c>
      <c r="B26" s="18">
        <f>'Loan Tape (BoE)'!B27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IFERROR(IFS('Loan Tape (BoE)'!N27=1,"Repayment",'Loan Tape (BoE)'!N27=2,"Interest Only",'Loan Tape (BoE)'!N27=3,"Part &amp; Part"),"")</f>
        <v/>
      </c>
      <c r="O26" s="17">
        <f>IF('Loan Tape (BoE)'!O27=1,"Yes","No")</f>
        <v/>
      </c>
      <c r="P26" s="17">
        <f>IF('Loan Tape (BoE)'!P27=1,"Yes","No")</f>
        <v/>
      </c>
      <c r="Q26" s="17">
        <f>IF('Loan Tape (BoE)'!Q27=1,"Yes","No")</f>
        <v/>
      </c>
      <c r="R26" s="18">
        <f>'Loan Tape (BoE)'!R27</f>
        <v/>
      </c>
      <c r="S26" s="18">
        <f>'Loan Tape (BoE)'!S27</f>
        <v/>
      </c>
      <c r="T26" s="17">
        <f>'Loan Tape (BoE)'!T27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 t="n"/>
      <c r="AQ26" s="17" t="n"/>
      <c r="AR26" s="17" t="n"/>
      <c r="AS26" s="17" t="n"/>
      <c r="AT26" s="17" t="n"/>
      <c r="AU26" s="17" t="n"/>
      <c r="AV26" s="17" t="n"/>
      <c r="AW26" s="17" t="n"/>
    </row>
    <row r="27">
      <c r="A27" s="17">
        <f>'Loan Tape (BoE)'!A28</f>
        <v/>
      </c>
      <c r="B27" s="18">
        <f>'Loan Tape (BoE)'!B28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IFERROR(IFS('Loan Tape (BoE)'!N28=1,"Repayment",'Loan Tape (BoE)'!N28=2,"Interest Only",'Loan Tape (BoE)'!N28=3,"Part &amp; Part"),"")</f>
        <v/>
      </c>
      <c r="O27" s="17">
        <f>IF('Loan Tape (BoE)'!O28=1,"Yes","No")</f>
        <v/>
      </c>
      <c r="P27" s="17">
        <f>IF('Loan Tape (BoE)'!P28=1,"Yes","No")</f>
        <v/>
      </c>
      <c r="Q27" s="17">
        <f>IF('Loan Tape (BoE)'!Q28=1,"Yes","No")</f>
        <v/>
      </c>
      <c r="R27" s="18">
        <f>'Loan Tape (BoE)'!R28</f>
        <v/>
      </c>
      <c r="S27" s="18">
        <f>'Loan Tape (BoE)'!S28</f>
        <v/>
      </c>
      <c r="T27" s="17">
        <f>'Loan Tape (BoE)'!T28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 t="n"/>
      <c r="AQ27" s="17" t="n"/>
      <c r="AR27" s="17" t="n"/>
      <c r="AS27" s="17" t="n"/>
      <c r="AT27" s="17" t="n"/>
      <c r="AU27" s="17" t="n"/>
      <c r="AV27" s="17" t="n"/>
      <c r="AW27" s="17" t="n"/>
    </row>
    <row r="28">
      <c r="A28" s="17">
        <f>'Loan Tape (BoE)'!A29</f>
        <v/>
      </c>
      <c r="B28" s="18">
        <f>'Loan Tape (BoE)'!B29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IFERROR(IFS('Loan Tape (BoE)'!N29=1,"Repayment",'Loan Tape (BoE)'!N29=2,"Interest Only",'Loan Tape (BoE)'!N29=3,"Part &amp; Part"),"")</f>
        <v/>
      </c>
      <c r="O28" s="17">
        <f>IF('Loan Tape (BoE)'!O29=1,"Yes","No")</f>
        <v/>
      </c>
      <c r="P28" s="17">
        <f>IF('Loan Tape (BoE)'!P29=1,"Yes","No")</f>
        <v/>
      </c>
      <c r="Q28" s="17">
        <f>IF('Loan Tape (BoE)'!Q29=1,"Yes","No")</f>
        <v/>
      </c>
      <c r="R28" s="18">
        <f>'Loan Tape (BoE)'!R29</f>
        <v/>
      </c>
      <c r="S28" s="18">
        <f>'Loan Tape (BoE)'!S29</f>
        <v/>
      </c>
      <c r="T28" s="17">
        <f>'Loan Tape (BoE)'!T29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 t="n"/>
      <c r="AQ28" s="17" t="n"/>
      <c r="AR28" s="17" t="n"/>
      <c r="AS28" s="17" t="n"/>
      <c r="AT28" s="17" t="n"/>
      <c r="AU28" s="17" t="n"/>
      <c r="AV28" s="17" t="n"/>
      <c r="AW28" s="17" t="n"/>
    </row>
    <row r="29">
      <c r="A29" s="17">
        <f>'Loan Tape (BoE)'!A30</f>
        <v/>
      </c>
      <c r="B29" s="18">
        <f>'Loan Tape (BoE)'!B30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IFERROR(IFS('Loan Tape (BoE)'!N30=1,"Repayment",'Loan Tape (BoE)'!N30=2,"Interest Only",'Loan Tape (BoE)'!N30=3,"Part &amp; Part"),"")</f>
        <v/>
      </c>
      <c r="O29" s="17">
        <f>IF('Loan Tape (BoE)'!O30=1,"Yes","No")</f>
        <v/>
      </c>
      <c r="P29" s="17">
        <f>IF('Loan Tape (BoE)'!P30=1,"Yes","No")</f>
        <v/>
      </c>
      <c r="Q29" s="17">
        <f>IF('Loan Tape (BoE)'!Q30=1,"Yes","No")</f>
        <v/>
      </c>
      <c r="R29" s="18">
        <f>'Loan Tape (BoE)'!R30</f>
        <v/>
      </c>
      <c r="S29" s="18">
        <f>'Loan Tape (BoE)'!S30</f>
        <v/>
      </c>
      <c r="T29" s="17">
        <f>'Loan Tape (BoE)'!T30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 t="n"/>
      <c r="AQ29" s="17" t="n"/>
      <c r="AR29" s="17" t="n"/>
      <c r="AS29" s="17" t="n"/>
      <c r="AT29" s="17" t="n"/>
      <c r="AU29" s="17" t="n"/>
      <c r="AV29" s="17" t="n"/>
      <c r="AW29" s="17" t="n"/>
    </row>
    <row r="30">
      <c r="A30" s="17">
        <f>'Loan Tape (BoE)'!A31</f>
        <v/>
      </c>
      <c r="B30" s="18">
        <f>'Loan Tape (BoE)'!B31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IFERROR(IFS('Loan Tape (BoE)'!N31=1,"Repayment",'Loan Tape (BoE)'!N31=2,"Interest Only",'Loan Tape (BoE)'!N31=3,"Part &amp; Part"),"")</f>
        <v/>
      </c>
      <c r="O30" s="17">
        <f>IF('Loan Tape (BoE)'!O31=1,"Yes","No")</f>
        <v/>
      </c>
      <c r="P30" s="17">
        <f>IF('Loan Tape (BoE)'!P31=1,"Yes","No")</f>
        <v/>
      </c>
      <c r="Q30" s="17">
        <f>IF('Loan Tape (BoE)'!Q31=1,"Yes","No")</f>
        <v/>
      </c>
      <c r="R30" s="18">
        <f>'Loan Tape (BoE)'!R31</f>
        <v/>
      </c>
      <c r="S30" s="18">
        <f>'Loan Tape (BoE)'!S31</f>
        <v/>
      </c>
      <c r="T30" s="17">
        <f>'Loan Tape (BoE)'!T31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 t="n"/>
      <c r="AQ30" s="17" t="n"/>
      <c r="AR30" s="17" t="n"/>
      <c r="AS30" s="17" t="n"/>
      <c r="AT30" s="17" t="n"/>
      <c r="AU30" s="17" t="n"/>
      <c r="AV30" s="17" t="n"/>
      <c r="AW30" s="17" t="n"/>
    </row>
    <row r="31">
      <c r="A31" s="17">
        <f>'Loan Tape (BoE)'!A32</f>
        <v/>
      </c>
      <c r="B31" s="18">
        <f>'Loan Tape (BoE)'!B32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IFERROR(IFS('Loan Tape (BoE)'!N32=1,"Repayment",'Loan Tape (BoE)'!N32=2,"Interest Only",'Loan Tape (BoE)'!N32=3,"Part &amp; Part"),"")</f>
        <v/>
      </c>
      <c r="O31" s="17">
        <f>IF('Loan Tape (BoE)'!O32=1,"Yes","No")</f>
        <v/>
      </c>
      <c r="P31" s="17">
        <f>IF('Loan Tape (BoE)'!P32=1,"Yes","No")</f>
        <v/>
      </c>
      <c r="Q31" s="17">
        <f>IF('Loan Tape (BoE)'!Q32=1,"Yes","No")</f>
        <v/>
      </c>
      <c r="R31" s="18">
        <f>'Loan Tape (BoE)'!R32</f>
        <v/>
      </c>
      <c r="S31" s="18">
        <f>'Loan Tape (BoE)'!S32</f>
        <v/>
      </c>
      <c r="T31" s="17">
        <f>'Loan Tape (BoE)'!T32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 t="n"/>
      <c r="AQ31" s="17" t="n"/>
      <c r="AR31" s="17" t="n"/>
      <c r="AS31" s="17" t="n"/>
      <c r="AT31" s="17" t="n"/>
      <c r="AU31" s="17" t="n"/>
      <c r="AV31" s="17" t="n"/>
      <c r="AW31" s="17" t="n"/>
    </row>
    <row r="32">
      <c r="A32" s="17">
        <f>'Loan Tape (BoE)'!A33</f>
        <v/>
      </c>
      <c r="B32" s="18">
        <f>'Loan Tape (BoE)'!B33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IFERROR(IFS('Loan Tape (BoE)'!N33=1,"Repayment",'Loan Tape (BoE)'!N33=2,"Interest Only",'Loan Tape (BoE)'!N33=3,"Part &amp; Part"),"")</f>
        <v/>
      </c>
      <c r="O32" s="17">
        <f>IF('Loan Tape (BoE)'!O33=1,"Yes","No")</f>
        <v/>
      </c>
      <c r="P32" s="17">
        <f>IF('Loan Tape (BoE)'!P33=1,"Yes","No")</f>
        <v/>
      </c>
      <c r="Q32" s="17">
        <f>IF('Loan Tape (BoE)'!Q33=1,"Yes","No")</f>
        <v/>
      </c>
      <c r="R32" s="18">
        <f>'Loan Tape (BoE)'!R33</f>
        <v/>
      </c>
      <c r="S32" s="18">
        <f>'Loan Tape (BoE)'!S33</f>
        <v/>
      </c>
      <c r="T32" s="17">
        <f>'Loan Tape (BoE)'!T33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 t="n"/>
      <c r="AQ32" s="17" t="n"/>
      <c r="AR32" s="17" t="n"/>
      <c r="AS32" s="17" t="n"/>
      <c r="AT32" s="17" t="n"/>
      <c r="AU32" s="17" t="n"/>
      <c r="AV32" s="17" t="n"/>
      <c r="AW32" s="17" t="n"/>
    </row>
    <row r="33">
      <c r="A33" s="17">
        <f>'Loan Tape (BoE)'!A34</f>
        <v/>
      </c>
      <c r="B33" s="18">
        <f>'Loan Tape (BoE)'!B34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IFERROR(IFS('Loan Tape (BoE)'!N34=1,"Repayment",'Loan Tape (BoE)'!N34=2,"Interest Only",'Loan Tape (BoE)'!N34=3,"Part &amp; Part"),"")</f>
        <v/>
      </c>
      <c r="O33" s="17">
        <f>IF('Loan Tape (BoE)'!O34=1,"Yes","No")</f>
        <v/>
      </c>
      <c r="P33" s="17">
        <f>IF('Loan Tape (BoE)'!P34=1,"Yes","No")</f>
        <v/>
      </c>
      <c r="Q33" s="17">
        <f>IF('Loan Tape (BoE)'!Q34=1,"Yes","No")</f>
        <v/>
      </c>
      <c r="R33" s="18">
        <f>'Loan Tape (BoE)'!R34</f>
        <v/>
      </c>
      <c r="S33" s="18">
        <f>'Loan Tape (BoE)'!S34</f>
        <v/>
      </c>
      <c r="T33" s="17">
        <f>'Loan Tape (BoE)'!T34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 t="n"/>
      <c r="AQ33" s="17" t="n"/>
      <c r="AR33" s="17" t="n"/>
      <c r="AS33" s="17" t="n"/>
      <c r="AT33" s="17" t="n"/>
      <c r="AU33" s="17" t="n"/>
      <c r="AV33" s="17" t="n"/>
      <c r="AW33" s="17" t="n"/>
    </row>
    <row r="34">
      <c r="A34" s="17">
        <f>'Loan Tape (BoE)'!A35</f>
        <v/>
      </c>
      <c r="B34" s="18">
        <f>'Loan Tape (BoE)'!B35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IFERROR(IFS('Loan Tape (BoE)'!N35=1,"Repayment",'Loan Tape (BoE)'!N35=2,"Interest Only",'Loan Tape (BoE)'!N35=3,"Part &amp; Part"),"")</f>
        <v/>
      </c>
      <c r="O34" s="17">
        <f>IF('Loan Tape (BoE)'!O35=1,"Yes","No")</f>
        <v/>
      </c>
      <c r="P34" s="17">
        <f>IF('Loan Tape (BoE)'!P35=1,"Yes","No")</f>
        <v/>
      </c>
      <c r="Q34" s="17">
        <f>IF('Loan Tape (BoE)'!Q35=1,"Yes","No")</f>
        <v/>
      </c>
      <c r="R34" s="18">
        <f>'Loan Tape (BoE)'!R35</f>
        <v/>
      </c>
      <c r="S34" s="18">
        <f>'Loan Tape (BoE)'!S35</f>
        <v/>
      </c>
      <c r="T34" s="17">
        <f>'Loan Tape (BoE)'!T35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 t="n"/>
      <c r="AQ34" s="17" t="n"/>
      <c r="AR34" s="17" t="n"/>
      <c r="AS34" s="17" t="n"/>
      <c r="AT34" s="17" t="n"/>
      <c r="AU34" s="17" t="n"/>
      <c r="AV34" s="17" t="n"/>
      <c r="AW34" s="17" t="n"/>
    </row>
    <row r="35">
      <c r="A35" s="17">
        <f>'Loan Tape (BoE)'!A36</f>
        <v/>
      </c>
      <c r="B35" s="18">
        <f>'Loan Tape (BoE)'!B36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IFERROR(IFS('Loan Tape (BoE)'!N36=1,"Repayment",'Loan Tape (BoE)'!N36=2,"Interest Only",'Loan Tape (BoE)'!N36=3,"Part &amp; Part"),"")</f>
        <v/>
      </c>
      <c r="O35" s="17">
        <f>IF('Loan Tape (BoE)'!O36=1,"Yes","No")</f>
        <v/>
      </c>
      <c r="P35" s="17">
        <f>IF('Loan Tape (BoE)'!P36=1,"Yes","No")</f>
        <v/>
      </c>
      <c r="Q35" s="17">
        <f>IF('Loan Tape (BoE)'!Q36=1,"Yes","No")</f>
        <v/>
      </c>
      <c r="R35" s="18">
        <f>'Loan Tape (BoE)'!R36</f>
        <v/>
      </c>
      <c r="S35" s="18">
        <f>'Loan Tape (BoE)'!S36</f>
        <v/>
      </c>
      <c r="T35" s="17">
        <f>'Loan Tape (BoE)'!T36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 t="n"/>
      <c r="AQ35" s="17" t="n"/>
      <c r="AR35" s="17" t="n"/>
      <c r="AS35" s="17" t="n"/>
      <c r="AT35" s="17" t="n"/>
      <c r="AU35" s="17" t="n"/>
      <c r="AV35" s="17" t="n"/>
      <c r="AW35" s="17" t="n"/>
    </row>
    <row r="36">
      <c r="A36" s="17">
        <f>'Loan Tape (BoE)'!A37</f>
        <v/>
      </c>
      <c r="B36" s="18">
        <f>'Loan Tape (BoE)'!B37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IFERROR(IFS('Loan Tape (BoE)'!N37=1,"Repayment",'Loan Tape (BoE)'!N37=2,"Interest Only",'Loan Tape (BoE)'!N37=3,"Part &amp; Part"),"")</f>
        <v/>
      </c>
      <c r="O36" s="17">
        <f>IF('Loan Tape (BoE)'!O37=1,"Yes","No")</f>
        <v/>
      </c>
      <c r="P36" s="17">
        <f>IF('Loan Tape (BoE)'!P37=1,"Yes","No")</f>
        <v/>
      </c>
      <c r="Q36" s="17">
        <f>IF('Loan Tape (BoE)'!Q37=1,"Yes","No")</f>
        <v/>
      </c>
      <c r="R36" s="18">
        <f>'Loan Tape (BoE)'!R37</f>
        <v/>
      </c>
      <c r="S36" s="18">
        <f>'Loan Tape (BoE)'!S37</f>
        <v/>
      </c>
      <c r="T36" s="17">
        <f>'Loan Tape (BoE)'!T37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 t="n"/>
      <c r="AQ36" s="17" t="n"/>
      <c r="AR36" s="17" t="n"/>
      <c r="AS36" s="17" t="n"/>
      <c r="AT36" s="17" t="n"/>
      <c r="AU36" s="17" t="n"/>
      <c r="AV36" s="17" t="n"/>
      <c r="AW36" s="17" t="n"/>
    </row>
    <row r="37">
      <c r="A37" s="17">
        <f>'Loan Tape (BoE)'!A38</f>
        <v/>
      </c>
      <c r="B37" s="18">
        <f>'Loan Tape (BoE)'!B38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IFERROR(IFS('Loan Tape (BoE)'!N38=1,"Repayment",'Loan Tape (BoE)'!N38=2,"Interest Only",'Loan Tape (BoE)'!N38=3,"Part &amp; Part"),"")</f>
        <v/>
      </c>
      <c r="O37" s="17">
        <f>IF('Loan Tape (BoE)'!O38=1,"Yes","No")</f>
        <v/>
      </c>
      <c r="P37" s="17">
        <f>IF('Loan Tape (BoE)'!P38=1,"Yes","No")</f>
        <v/>
      </c>
      <c r="Q37" s="17">
        <f>IF('Loan Tape (BoE)'!Q38=1,"Yes","No")</f>
        <v/>
      </c>
      <c r="R37" s="18">
        <f>'Loan Tape (BoE)'!R38</f>
        <v/>
      </c>
      <c r="S37" s="18">
        <f>'Loan Tape (BoE)'!S38</f>
        <v/>
      </c>
      <c r="T37" s="17">
        <f>'Loan Tape (BoE)'!T38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 t="n"/>
      <c r="AQ37" s="17" t="n"/>
      <c r="AR37" s="17" t="n"/>
      <c r="AS37" s="17" t="n"/>
      <c r="AT37" s="17" t="n"/>
      <c r="AU37" s="17" t="n"/>
      <c r="AV37" s="17" t="n"/>
      <c r="AW37" s="17" t="n"/>
    </row>
    <row r="38">
      <c r="A38" s="17">
        <f>'Loan Tape (BoE)'!A39</f>
        <v/>
      </c>
      <c r="B38" s="18">
        <f>'Loan Tape (BoE)'!B39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IFERROR(IFS('Loan Tape (BoE)'!N39=1,"Repayment",'Loan Tape (BoE)'!N39=2,"Interest Only",'Loan Tape (BoE)'!N39=3,"Part &amp; Part"),"")</f>
        <v/>
      </c>
      <c r="O38" s="17">
        <f>IF('Loan Tape (BoE)'!O39=1,"Yes","No")</f>
        <v/>
      </c>
      <c r="P38" s="17">
        <f>IF('Loan Tape (BoE)'!P39=1,"Yes","No")</f>
        <v/>
      </c>
      <c r="Q38" s="17">
        <f>IF('Loan Tape (BoE)'!Q39=1,"Yes","No")</f>
        <v/>
      </c>
      <c r="R38" s="18">
        <f>'Loan Tape (BoE)'!R39</f>
        <v/>
      </c>
      <c r="S38" s="18">
        <f>'Loan Tape (BoE)'!S39</f>
        <v/>
      </c>
      <c r="T38" s="17">
        <f>'Loan Tape (BoE)'!T39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 t="n"/>
      <c r="AQ38" s="17" t="n"/>
      <c r="AR38" s="17" t="n"/>
      <c r="AS38" s="17" t="n"/>
      <c r="AT38" s="17" t="n"/>
      <c r="AU38" s="17" t="n"/>
      <c r="AV38" s="17" t="n"/>
      <c r="AW38" s="17" t="n"/>
    </row>
    <row r="39">
      <c r="A39" s="17">
        <f>'Loan Tape (BoE)'!A40</f>
        <v/>
      </c>
      <c r="B39" s="18">
        <f>'Loan Tape (BoE)'!B40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IFERROR(IFS('Loan Tape (BoE)'!N40=1,"Repayment",'Loan Tape (BoE)'!N40=2,"Interest Only",'Loan Tape (BoE)'!N40=3,"Part &amp; Part"),"")</f>
        <v/>
      </c>
      <c r="O39" s="17">
        <f>IF('Loan Tape (BoE)'!O40=1,"Yes","No")</f>
        <v/>
      </c>
      <c r="P39" s="17">
        <f>IF('Loan Tape (BoE)'!P40=1,"Yes","No")</f>
        <v/>
      </c>
      <c r="Q39" s="17">
        <f>IF('Loan Tape (BoE)'!Q40=1,"Yes","No")</f>
        <v/>
      </c>
      <c r="R39" s="18">
        <f>'Loan Tape (BoE)'!R40</f>
        <v/>
      </c>
      <c r="S39" s="18">
        <f>'Loan Tape (BoE)'!S40</f>
        <v/>
      </c>
      <c r="T39" s="17">
        <f>'Loan Tape (BoE)'!T40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 t="n"/>
      <c r="AQ39" s="17" t="n"/>
      <c r="AR39" s="17" t="n"/>
      <c r="AS39" s="17" t="n"/>
      <c r="AT39" s="17" t="n"/>
      <c r="AU39" s="17" t="n"/>
      <c r="AV39" s="17" t="n"/>
      <c r="AW39" s="17" t="n"/>
    </row>
    <row r="40">
      <c r="A40" s="17">
        <f>'Loan Tape (BoE)'!A41</f>
        <v/>
      </c>
      <c r="B40" s="18">
        <f>'Loan Tape (BoE)'!B41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IFERROR(IFS('Loan Tape (BoE)'!N41=1,"Repayment",'Loan Tape (BoE)'!N41=2,"Interest Only",'Loan Tape (BoE)'!N41=3,"Part &amp; Part"),"")</f>
        <v/>
      </c>
      <c r="O40" s="17">
        <f>IF('Loan Tape (BoE)'!O41=1,"Yes","No")</f>
        <v/>
      </c>
      <c r="P40" s="17">
        <f>IF('Loan Tape (BoE)'!P41=1,"Yes","No")</f>
        <v/>
      </c>
      <c r="Q40" s="17">
        <f>IF('Loan Tape (BoE)'!Q41=1,"Yes","No")</f>
        <v/>
      </c>
      <c r="R40" s="18">
        <f>'Loan Tape (BoE)'!R41</f>
        <v/>
      </c>
      <c r="S40" s="18">
        <f>'Loan Tape (BoE)'!S41</f>
        <v/>
      </c>
      <c r="T40" s="17">
        <f>'Loan Tape (BoE)'!T41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 t="n"/>
      <c r="AQ40" s="17" t="n"/>
      <c r="AR40" s="17" t="n"/>
      <c r="AS40" s="17" t="n"/>
      <c r="AT40" s="17" t="n"/>
      <c r="AU40" s="17" t="n"/>
      <c r="AV40" s="17" t="n"/>
      <c r="AW40" s="17" t="n"/>
    </row>
    <row r="41">
      <c r="A41" s="17">
        <f>'Loan Tape (BoE)'!A42</f>
        <v/>
      </c>
      <c r="B41" s="18">
        <f>'Loan Tape (BoE)'!B42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IFERROR(IFS('Loan Tape (BoE)'!N42=1,"Repayment",'Loan Tape (BoE)'!N42=2,"Interest Only",'Loan Tape (BoE)'!N42=3,"Part &amp; Part"),"")</f>
        <v/>
      </c>
      <c r="O41" s="17">
        <f>IF('Loan Tape (BoE)'!O42=1,"Yes","No")</f>
        <v/>
      </c>
      <c r="P41" s="17">
        <f>IF('Loan Tape (BoE)'!P42=1,"Yes","No")</f>
        <v/>
      </c>
      <c r="Q41" s="17">
        <f>IF('Loan Tape (BoE)'!Q42=1,"Yes","No")</f>
        <v/>
      </c>
      <c r="R41" s="18">
        <f>'Loan Tape (BoE)'!R42</f>
        <v/>
      </c>
      <c r="S41" s="18">
        <f>'Loan Tape (BoE)'!S42</f>
        <v/>
      </c>
      <c r="T41" s="17">
        <f>'Loan Tape (BoE)'!T42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 t="n"/>
      <c r="AQ41" s="17" t="n"/>
      <c r="AR41" s="17" t="n"/>
      <c r="AS41" s="17" t="n"/>
      <c r="AT41" s="17" t="n"/>
      <c r="AU41" s="17" t="n"/>
      <c r="AV41" s="17" t="n"/>
      <c r="AW41" s="17" t="n"/>
    </row>
    <row r="42">
      <c r="A42" s="17">
        <f>'Loan Tape (BoE)'!A43</f>
        <v/>
      </c>
      <c r="B42" s="18">
        <f>'Loan Tape (BoE)'!B43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IFERROR(IFS('Loan Tape (BoE)'!N43=1,"Repayment",'Loan Tape (BoE)'!N43=2,"Interest Only",'Loan Tape (BoE)'!N43=3,"Part &amp; Part"),"")</f>
        <v/>
      </c>
      <c r="O42" s="17">
        <f>IF('Loan Tape (BoE)'!O43=1,"Yes","No")</f>
        <v/>
      </c>
      <c r="P42" s="17">
        <f>IF('Loan Tape (BoE)'!P43=1,"Yes","No")</f>
        <v/>
      </c>
      <c r="Q42" s="17">
        <f>IF('Loan Tape (BoE)'!Q43=1,"Yes","No")</f>
        <v/>
      </c>
      <c r="R42" s="18">
        <f>'Loan Tape (BoE)'!R43</f>
        <v/>
      </c>
      <c r="S42" s="18">
        <f>'Loan Tape (BoE)'!S43</f>
        <v/>
      </c>
      <c r="T42" s="17">
        <f>'Loan Tape (BoE)'!T43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 t="n"/>
      <c r="AQ42" s="17" t="n"/>
      <c r="AR42" s="17" t="n"/>
      <c r="AS42" s="17" t="n"/>
      <c r="AT42" s="17" t="n"/>
      <c r="AU42" s="17" t="n"/>
      <c r="AV42" s="17" t="n"/>
      <c r="AW42" s="17" t="n"/>
    </row>
    <row r="43">
      <c r="A43" s="17">
        <f>'Loan Tape (BoE)'!A44</f>
        <v/>
      </c>
      <c r="B43" s="18">
        <f>'Loan Tape (BoE)'!B44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IFERROR(IFS('Loan Tape (BoE)'!N44=1,"Repayment",'Loan Tape (BoE)'!N44=2,"Interest Only",'Loan Tape (BoE)'!N44=3,"Part &amp; Part"),"")</f>
        <v/>
      </c>
      <c r="O43" s="17">
        <f>IF('Loan Tape (BoE)'!O44=1,"Yes","No")</f>
        <v/>
      </c>
      <c r="P43" s="17">
        <f>IF('Loan Tape (BoE)'!P44=1,"Yes","No")</f>
        <v/>
      </c>
      <c r="Q43" s="17">
        <f>IF('Loan Tape (BoE)'!Q44=1,"Yes","No")</f>
        <v/>
      </c>
      <c r="R43" s="18">
        <f>'Loan Tape (BoE)'!R44</f>
        <v/>
      </c>
      <c r="S43" s="18">
        <f>'Loan Tape (BoE)'!S44</f>
        <v/>
      </c>
      <c r="T43" s="17">
        <f>'Loan Tape (BoE)'!T44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 t="n"/>
      <c r="AQ43" s="17" t="n"/>
      <c r="AR43" s="17" t="n"/>
      <c r="AS43" s="17" t="n"/>
      <c r="AT43" s="17" t="n"/>
      <c r="AU43" s="17" t="n"/>
      <c r="AV43" s="17" t="n"/>
      <c r="AW43" s="17" t="n"/>
    </row>
    <row r="44">
      <c r="A44" s="17">
        <f>'Loan Tape (BoE)'!A45</f>
        <v/>
      </c>
      <c r="B44" s="18">
        <f>'Loan Tape (BoE)'!B45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IFERROR(IFS('Loan Tape (BoE)'!N45=1,"Repayment",'Loan Tape (BoE)'!N45=2,"Interest Only",'Loan Tape (BoE)'!N45=3,"Part &amp; Part"),"")</f>
        <v/>
      </c>
      <c r="O44" s="17">
        <f>IF('Loan Tape (BoE)'!O45=1,"Yes","No")</f>
        <v/>
      </c>
      <c r="P44" s="17">
        <f>IF('Loan Tape (BoE)'!P45=1,"Yes","No")</f>
        <v/>
      </c>
      <c r="Q44" s="17">
        <f>IF('Loan Tape (BoE)'!Q45=1,"Yes","No")</f>
        <v/>
      </c>
      <c r="R44" s="18">
        <f>'Loan Tape (BoE)'!R45</f>
        <v/>
      </c>
      <c r="S44" s="18">
        <f>'Loan Tape (BoE)'!S45</f>
        <v/>
      </c>
      <c r="T44" s="17">
        <f>'Loan Tape (BoE)'!T45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 t="n"/>
      <c r="AQ44" s="17" t="n"/>
      <c r="AR44" s="17" t="n"/>
      <c r="AS44" s="17" t="n"/>
      <c r="AT44" s="17" t="n"/>
      <c r="AU44" s="17" t="n"/>
      <c r="AV44" s="17" t="n"/>
      <c r="AW44" s="17" t="n"/>
    </row>
    <row r="45">
      <c r="A45" s="17">
        <f>'Loan Tape (BoE)'!A46</f>
        <v/>
      </c>
      <c r="B45" s="18">
        <f>'Loan Tape (BoE)'!B46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IFERROR(IFS('Loan Tape (BoE)'!N46=1,"Repayment",'Loan Tape (BoE)'!N46=2,"Interest Only",'Loan Tape (BoE)'!N46=3,"Part &amp; Part"),"")</f>
        <v/>
      </c>
      <c r="O45" s="17">
        <f>IF('Loan Tape (BoE)'!O46=1,"Yes","No")</f>
        <v/>
      </c>
      <c r="P45" s="17">
        <f>IF('Loan Tape (BoE)'!P46=1,"Yes","No")</f>
        <v/>
      </c>
      <c r="Q45" s="17">
        <f>IF('Loan Tape (BoE)'!Q46=1,"Yes","No")</f>
        <v/>
      </c>
      <c r="R45" s="18">
        <f>'Loan Tape (BoE)'!R46</f>
        <v/>
      </c>
      <c r="S45" s="18">
        <f>'Loan Tape (BoE)'!S46</f>
        <v/>
      </c>
      <c r="T45" s="17">
        <f>'Loan Tape (BoE)'!T46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 t="n"/>
      <c r="AQ45" s="17" t="n"/>
      <c r="AR45" s="17" t="n"/>
      <c r="AS45" s="17" t="n"/>
      <c r="AT45" s="17" t="n"/>
      <c r="AU45" s="17" t="n"/>
      <c r="AV45" s="17" t="n"/>
      <c r="AW45" s="17" t="n"/>
    </row>
    <row r="46">
      <c r="A46" s="17">
        <f>'Loan Tape (BoE)'!A47</f>
        <v/>
      </c>
      <c r="B46" s="18">
        <f>'Loan Tape (BoE)'!B47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IFERROR(IFS('Loan Tape (BoE)'!N47=1,"Repayment",'Loan Tape (BoE)'!N47=2,"Interest Only",'Loan Tape (BoE)'!N47=3,"Part &amp; Part"),"")</f>
        <v/>
      </c>
      <c r="O46" s="17">
        <f>IF('Loan Tape (BoE)'!O47=1,"Yes","No")</f>
        <v/>
      </c>
      <c r="P46" s="17">
        <f>IF('Loan Tape (BoE)'!P47=1,"Yes","No")</f>
        <v/>
      </c>
      <c r="Q46" s="17">
        <f>IF('Loan Tape (BoE)'!Q47=1,"Yes","No")</f>
        <v/>
      </c>
      <c r="R46" s="18">
        <f>'Loan Tape (BoE)'!R47</f>
        <v/>
      </c>
      <c r="S46" s="18">
        <f>'Loan Tape (BoE)'!S47</f>
        <v/>
      </c>
      <c r="T46" s="17">
        <f>'Loan Tape (BoE)'!T47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 t="n"/>
      <c r="AQ46" s="17" t="n"/>
      <c r="AR46" s="17" t="n"/>
      <c r="AS46" s="17" t="n"/>
      <c r="AT46" s="17" t="n"/>
      <c r="AU46" s="17" t="n"/>
      <c r="AV46" s="17" t="n"/>
      <c r="AW46" s="17" t="n"/>
    </row>
    <row r="47">
      <c r="A47" s="17">
        <f>'Loan Tape (BoE)'!A48</f>
        <v/>
      </c>
      <c r="B47" s="18">
        <f>'Loan Tape (BoE)'!B48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IFERROR(IFS('Loan Tape (BoE)'!N48=1,"Repayment",'Loan Tape (BoE)'!N48=2,"Interest Only",'Loan Tape (BoE)'!N48=3,"Part &amp; Part"),"")</f>
        <v/>
      </c>
      <c r="O47" s="17">
        <f>IF('Loan Tape (BoE)'!O48=1,"Yes","No")</f>
        <v/>
      </c>
      <c r="P47" s="17">
        <f>IF('Loan Tape (BoE)'!P48=1,"Yes","No")</f>
        <v/>
      </c>
      <c r="Q47" s="17">
        <f>IF('Loan Tape (BoE)'!Q48=1,"Yes","No")</f>
        <v/>
      </c>
      <c r="R47" s="18">
        <f>'Loan Tape (BoE)'!R48</f>
        <v/>
      </c>
      <c r="S47" s="18">
        <f>'Loan Tape (BoE)'!S48</f>
        <v/>
      </c>
      <c r="T47" s="17">
        <f>'Loan Tape (BoE)'!T48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 t="n"/>
      <c r="AQ47" s="17" t="n"/>
      <c r="AR47" s="17" t="n"/>
      <c r="AS47" s="17" t="n"/>
      <c r="AT47" s="17" t="n"/>
      <c r="AU47" s="17" t="n"/>
      <c r="AV47" s="17" t="n"/>
      <c r="AW47" s="17" t="n"/>
    </row>
    <row r="48">
      <c r="A48" s="17">
        <f>'Loan Tape (BoE)'!A49</f>
        <v/>
      </c>
      <c r="B48" s="18">
        <f>'Loan Tape (BoE)'!B49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IFERROR(IFS('Loan Tape (BoE)'!N49=1,"Repayment",'Loan Tape (BoE)'!N49=2,"Interest Only",'Loan Tape (BoE)'!N49=3,"Part &amp; Part"),"")</f>
        <v/>
      </c>
      <c r="O48" s="17">
        <f>IF('Loan Tape (BoE)'!O49=1,"Yes","No")</f>
        <v/>
      </c>
      <c r="P48" s="17">
        <f>IF('Loan Tape (BoE)'!P49=1,"Yes","No")</f>
        <v/>
      </c>
      <c r="Q48" s="17">
        <f>IF('Loan Tape (BoE)'!Q49=1,"Yes","No")</f>
        <v/>
      </c>
      <c r="R48" s="18">
        <f>'Loan Tape (BoE)'!R49</f>
        <v/>
      </c>
      <c r="S48" s="18">
        <f>'Loan Tape (BoE)'!S49</f>
        <v/>
      </c>
      <c r="T48" s="17">
        <f>'Loan Tape (BoE)'!T49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 t="n"/>
      <c r="AQ48" s="17" t="n"/>
      <c r="AR48" s="17" t="n"/>
      <c r="AS48" s="17" t="n"/>
      <c r="AT48" s="17" t="n"/>
      <c r="AU48" s="17" t="n"/>
      <c r="AV48" s="17" t="n"/>
      <c r="AW48" s="17" t="n"/>
    </row>
    <row r="49">
      <c r="A49" s="17">
        <f>'Loan Tape (BoE)'!A50</f>
        <v/>
      </c>
      <c r="B49" s="18">
        <f>'Loan Tape (BoE)'!B50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IFERROR(IFS('Loan Tape (BoE)'!N50=1,"Repayment",'Loan Tape (BoE)'!N50=2,"Interest Only",'Loan Tape (BoE)'!N50=3,"Part &amp; Part"),"")</f>
        <v/>
      </c>
      <c r="O49" s="17">
        <f>IF('Loan Tape (BoE)'!O50=1,"Yes","No")</f>
        <v/>
      </c>
      <c r="P49" s="17">
        <f>IF('Loan Tape (BoE)'!P50=1,"Yes","No")</f>
        <v/>
      </c>
      <c r="Q49" s="17">
        <f>IF('Loan Tape (BoE)'!Q50=1,"Yes","No")</f>
        <v/>
      </c>
      <c r="R49" s="18">
        <f>'Loan Tape (BoE)'!R50</f>
        <v/>
      </c>
      <c r="S49" s="18">
        <f>'Loan Tape (BoE)'!S50</f>
        <v/>
      </c>
      <c r="T49" s="17">
        <f>'Loan Tape (BoE)'!T50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 t="n"/>
      <c r="AQ49" s="17" t="n"/>
      <c r="AR49" s="17" t="n"/>
      <c r="AS49" s="17" t="n"/>
      <c r="AT49" s="17" t="n"/>
      <c r="AU49" s="17" t="n"/>
      <c r="AV49" s="17" t="n"/>
      <c r="AW49" s="17" t="n"/>
    </row>
    <row r="50">
      <c r="A50" s="17">
        <f>'Loan Tape (BoE)'!A51</f>
        <v/>
      </c>
      <c r="B50" s="18">
        <f>'Loan Tape (BoE)'!B51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IFERROR(IFS('Loan Tape (BoE)'!N51=1,"Repayment",'Loan Tape (BoE)'!N51=2,"Interest Only",'Loan Tape (BoE)'!N51=3,"Part &amp; Part"),"")</f>
        <v/>
      </c>
      <c r="O50" s="17">
        <f>IF('Loan Tape (BoE)'!O51=1,"Yes","No")</f>
        <v/>
      </c>
      <c r="P50" s="17">
        <f>IF('Loan Tape (BoE)'!P51=1,"Yes","No")</f>
        <v/>
      </c>
      <c r="Q50" s="17">
        <f>IF('Loan Tape (BoE)'!Q51=1,"Yes","No")</f>
        <v/>
      </c>
      <c r="R50" s="18">
        <f>'Loan Tape (BoE)'!R51</f>
        <v/>
      </c>
      <c r="S50" s="18">
        <f>'Loan Tape (BoE)'!S51</f>
        <v/>
      </c>
      <c r="T50" s="17">
        <f>'Loan Tape (BoE)'!T51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 t="n"/>
      <c r="AQ50" s="17" t="n"/>
      <c r="AR50" s="17" t="n"/>
      <c r="AS50" s="17" t="n"/>
      <c r="AT50" s="17" t="n"/>
      <c r="AU50" s="17" t="n"/>
      <c r="AV50" s="17" t="n"/>
      <c r="AW50" s="17" t="n"/>
    </row>
    <row r="51">
      <c r="A51" s="17">
        <f>'Loan Tape (BoE)'!A52</f>
        <v/>
      </c>
      <c r="B51" s="18">
        <f>'Loan Tape (BoE)'!B52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IFERROR(IFS('Loan Tape (BoE)'!N52=1,"Repayment",'Loan Tape (BoE)'!N52=2,"Interest Only",'Loan Tape (BoE)'!N52=3,"Part &amp; Part"),"")</f>
        <v/>
      </c>
      <c r="O51" s="17">
        <f>IF('Loan Tape (BoE)'!O52=1,"Yes","No")</f>
        <v/>
      </c>
      <c r="P51" s="17">
        <f>IF('Loan Tape (BoE)'!P52=1,"Yes","No")</f>
        <v/>
      </c>
      <c r="Q51" s="17">
        <f>IF('Loan Tape (BoE)'!Q52=1,"Yes","No")</f>
        <v/>
      </c>
      <c r="R51" s="18">
        <f>'Loan Tape (BoE)'!R52</f>
        <v/>
      </c>
      <c r="S51" s="18">
        <f>'Loan Tape (BoE)'!S52</f>
        <v/>
      </c>
      <c r="T51" s="17">
        <f>'Loan Tape (BoE)'!T52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 t="n"/>
      <c r="AQ51" s="17" t="n"/>
      <c r="AR51" s="17" t="n"/>
      <c r="AS51" s="17" t="n"/>
      <c r="AT51" s="17" t="n"/>
      <c r="AU51" s="17" t="n"/>
      <c r="AV51" s="17" t="n"/>
      <c r="AW51" s="17" t="n"/>
    </row>
    <row r="52">
      <c r="A52" s="17">
        <f>'Loan Tape (BoE)'!A53</f>
        <v/>
      </c>
      <c r="B52" s="18">
        <f>'Loan Tape (BoE)'!B53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IFERROR(IFS('Loan Tape (BoE)'!N53=1,"Repayment",'Loan Tape (BoE)'!N53=2,"Interest Only",'Loan Tape (BoE)'!N53=3,"Part &amp; Part"),"")</f>
        <v/>
      </c>
      <c r="O52" s="17">
        <f>IF('Loan Tape (BoE)'!O53=1,"Yes","No")</f>
        <v/>
      </c>
      <c r="P52" s="17">
        <f>IF('Loan Tape (BoE)'!P53=1,"Yes","No")</f>
        <v/>
      </c>
      <c r="Q52" s="17">
        <f>IF('Loan Tape (BoE)'!Q53=1,"Yes","No")</f>
        <v/>
      </c>
      <c r="R52" s="18">
        <f>'Loan Tape (BoE)'!R53</f>
        <v/>
      </c>
      <c r="S52" s="18">
        <f>'Loan Tape (BoE)'!S53</f>
        <v/>
      </c>
      <c r="T52" s="17">
        <f>'Loan Tape (BoE)'!T53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 t="n"/>
      <c r="AQ52" s="17" t="n"/>
      <c r="AR52" s="17" t="n"/>
      <c r="AS52" s="17" t="n"/>
      <c r="AT52" s="17" t="n"/>
      <c r="AU52" s="17" t="n"/>
      <c r="AV52" s="17" t="n"/>
      <c r="AW52" s="17" t="n"/>
    </row>
    <row r="53">
      <c r="A53" s="17">
        <f>'Loan Tape (BoE)'!A54</f>
        <v/>
      </c>
      <c r="B53" s="18">
        <f>'Loan Tape (BoE)'!B54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IFERROR(IFS('Loan Tape (BoE)'!N54=1,"Repayment",'Loan Tape (BoE)'!N54=2,"Interest Only",'Loan Tape (BoE)'!N54=3,"Part &amp; Part"),"")</f>
        <v/>
      </c>
      <c r="O53" s="17">
        <f>IF('Loan Tape (BoE)'!O54=1,"Yes","No")</f>
        <v/>
      </c>
      <c r="P53" s="17">
        <f>IF('Loan Tape (BoE)'!P54=1,"Yes","No")</f>
        <v/>
      </c>
      <c r="Q53" s="17">
        <f>IF('Loan Tape (BoE)'!Q54=1,"Yes","No")</f>
        <v/>
      </c>
      <c r="R53" s="18">
        <f>'Loan Tape (BoE)'!R54</f>
        <v/>
      </c>
      <c r="S53" s="18">
        <f>'Loan Tape (BoE)'!S54</f>
        <v/>
      </c>
      <c r="T53" s="17">
        <f>'Loan Tape (BoE)'!T54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 t="n"/>
      <c r="AQ53" s="17" t="n"/>
      <c r="AR53" s="17" t="n"/>
      <c r="AS53" s="17" t="n"/>
      <c r="AT53" s="17" t="n"/>
      <c r="AU53" s="17" t="n"/>
      <c r="AV53" s="17" t="n"/>
      <c r="AW53" s="17" t="n"/>
    </row>
    <row r="54">
      <c r="A54" s="17">
        <f>'Loan Tape (BoE)'!A55</f>
        <v/>
      </c>
      <c r="B54" s="18">
        <f>'Loan Tape (BoE)'!B55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IFERROR(IFS('Loan Tape (BoE)'!N55=1,"Repayment",'Loan Tape (BoE)'!N55=2,"Interest Only",'Loan Tape (BoE)'!N55=3,"Part &amp; Part"),"")</f>
        <v/>
      </c>
      <c r="O54" s="17">
        <f>IF('Loan Tape (BoE)'!O55=1,"Yes","No")</f>
        <v/>
      </c>
      <c r="P54" s="17">
        <f>IF('Loan Tape (BoE)'!P55=1,"Yes","No")</f>
        <v/>
      </c>
      <c r="Q54" s="17">
        <f>IF('Loan Tape (BoE)'!Q55=1,"Yes","No")</f>
        <v/>
      </c>
      <c r="R54" s="18">
        <f>'Loan Tape (BoE)'!R55</f>
        <v/>
      </c>
      <c r="S54" s="18">
        <f>'Loan Tape (BoE)'!S55</f>
        <v/>
      </c>
      <c r="T54" s="17">
        <f>'Loan Tape (BoE)'!T55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 t="n"/>
      <c r="AQ54" s="17" t="n"/>
      <c r="AR54" s="17" t="n"/>
      <c r="AS54" s="17" t="n"/>
      <c r="AT54" s="17" t="n"/>
      <c r="AU54" s="17" t="n"/>
      <c r="AV54" s="17" t="n"/>
      <c r="AW54" s="17" t="n"/>
    </row>
    <row r="55">
      <c r="A55" s="17">
        <f>'Loan Tape (BoE)'!A56</f>
        <v/>
      </c>
      <c r="B55" s="18">
        <f>'Loan Tape (BoE)'!B56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IFERROR(IFS('Loan Tape (BoE)'!N56=1,"Repayment",'Loan Tape (BoE)'!N56=2,"Interest Only",'Loan Tape (BoE)'!N56=3,"Part &amp; Part"),"")</f>
        <v/>
      </c>
      <c r="O55" s="17">
        <f>IF('Loan Tape (BoE)'!O56=1,"Yes","No")</f>
        <v/>
      </c>
      <c r="P55" s="17">
        <f>IF('Loan Tape (BoE)'!P56=1,"Yes","No")</f>
        <v/>
      </c>
      <c r="Q55" s="17">
        <f>IF('Loan Tape (BoE)'!Q56=1,"Yes","No")</f>
        <v/>
      </c>
      <c r="R55" s="18">
        <f>'Loan Tape (BoE)'!R56</f>
        <v/>
      </c>
      <c r="S55" s="18">
        <f>'Loan Tape (BoE)'!S56</f>
        <v/>
      </c>
      <c r="T55" s="17">
        <f>'Loan Tape (BoE)'!T56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 t="n"/>
      <c r="AQ55" s="17" t="n"/>
      <c r="AR55" s="17" t="n"/>
      <c r="AS55" s="17" t="n"/>
      <c r="AT55" s="17" t="n"/>
      <c r="AU55" s="17" t="n"/>
      <c r="AV55" s="17" t="n"/>
      <c r="AW55" s="17" t="n"/>
    </row>
    <row r="56">
      <c r="A56" s="17">
        <f>'Loan Tape (BoE)'!A57</f>
        <v/>
      </c>
      <c r="B56" s="18">
        <f>'Loan Tape (BoE)'!B57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IFERROR(IFS('Loan Tape (BoE)'!N57=1,"Repayment",'Loan Tape (BoE)'!N57=2,"Interest Only",'Loan Tape (BoE)'!N57=3,"Part &amp; Part"),"")</f>
        <v/>
      </c>
      <c r="O56" s="17">
        <f>IF('Loan Tape (BoE)'!O57=1,"Yes","No")</f>
        <v/>
      </c>
      <c r="P56" s="17">
        <f>IF('Loan Tape (BoE)'!P57=1,"Yes","No")</f>
        <v/>
      </c>
      <c r="Q56" s="17">
        <f>IF('Loan Tape (BoE)'!Q57=1,"Yes","No")</f>
        <v/>
      </c>
      <c r="R56" s="18">
        <f>'Loan Tape (BoE)'!R57</f>
        <v/>
      </c>
      <c r="S56" s="18">
        <f>'Loan Tape (BoE)'!S57</f>
        <v/>
      </c>
      <c r="T56" s="17">
        <f>'Loan Tape (BoE)'!T57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 t="n"/>
      <c r="AQ56" s="17" t="n"/>
      <c r="AR56" s="17" t="n"/>
      <c r="AS56" s="17" t="n"/>
      <c r="AT56" s="17" t="n"/>
      <c r="AU56" s="17" t="n"/>
      <c r="AV56" s="17" t="n"/>
      <c r="AW56" s="17" t="n"/>
    </row>
    <row r="57">
      <c r="A57" s="17">
        <f>'Loan Tape (BoE)'!A58</f>
        <v/>
      </c>
      <c r="B57" s="18">
        <f>'Loan Tape (BoE)'!B58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IFERROR(IFS('Loan Tape (BoE)'!N58=1,"Repayment",'Loan Tape (BoE)'!N58=2,"Interest Only",'Loan Tape (BoE)'!N58=3,"Part &amp; Part"),"")</f>
        <v/>
      </c>
      <c r="O57" s="17">
        <f>IF('Loan Tape (BoE)'!O58=1,"Yes","No")</f>
        <v/>
      </c>
      <c r="P57" s="17">
        <f>IF('Loan Tape (BoE)'!P58=1,"Yes","No")</f>
        <v/>
      </c>
      <c r="Q57" s="17">
        <f>IF('Loan Tape (BoE)'!Q58=1,"Yes","No")</f>
        <v/>
      </c>
      <c r="R57" s="18">
        <f>'Loan Tape (BoE)'!R58</f>
        <v/>
      </c>
      <c r="S57" s="18">
        <f>'Loan Tape (BoE)'!S58</f>
        <v/>
      </c>
      <c r="T57" s="17">
        <f>'Loan Tape (BoE)'!T58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 t="n"/>
      <c r="AQ57" s="17" t="n"/>
      <c r="AR57" s="17" t="n"/>
      <c r="AS57" s="17" t="n"/>
      <c r="AT57" s="17" t="n"/>
      <c r="AU57" s="17" t="n"/>
      <c r="AV57" s="17" t="n"/>
      <c r="AW57" s="17" t="n"/>
    </row>
    <row r="58">
      <c r="A58" s="17">
        <f>'Loan Tape (BoE)'!A59</f>
        <v/>
      </c>
      <c r="B58" s="18">
        <f>'Loan Tape (BoE)'!B59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IFERROR(IFS('Loan Tape (BoE)'!N59=1,"Repayment",'Loan Tape (BoE)'!N59=2,"Interest Only",'Loan Tape (BoE)'!N59=3,"Part &amp; Part"),"")</f>
        <v/>
      </c>
      <c r="O58" s="17">
        <f>IF('Loan Tape (BoE)'!O59=1,"Yes","No")</f>
        <v/>
      </c>
      <c r="P58" s="17">
        <f>IF('Loan Tape (BoE)'!P59=1,"Yes","No")</f>
        <v/>
      </c>
      <c r="Q58" s="17">
        <f>IF('Loan Tape (BoE)'!Q59=1,"Yes","No")</f>
        <v/>
      </c>
      <c r="R58" s="18">
        <f>'Loan Tape (BoE)'!R59</f>
        <v/>
      </c>
      <c r="S58" s="18">
        <f>'Loan Tape (BoE)'!S59</f>
        <v/>
      </c>
      <c r="T58" s="17">
        <f>'Loan Tape (BoE)'!T59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 t="n"/>
      <c r="AQ58" s="17" t="n"/>
      <c r="AR58" s="17" t="n"/>
      <c r="AS58" s="17" t="n"/>
      <c r="AT58" s="17" t="n"/>
      <c r="AU58" s="17" t="n"/>
      <c r="AV58" s="17" t="n"/>
      <c r="AW58" s="17" t="n"/>
    </row>
    <row r="59">
      <c r="A59" s="17">
        <f>'Loan Tape (BoE)'!A60</f>
        <v/>
      </c>
      <c r="B59" s="18">
        <f>'Loan Tape (BoE)'!B60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IFERROR(IFS('Loan Tape (BoE)'!N60=1,"Repayment",'Loan Tape (BoE)'!N60=2,"Interest Only",'Loan Tape (BoE)'!N60=3,"Part &amp; Part"),"")</f>
        <v/>
      </c>
      <c r="O59" s="17">
        <f>IF('Loan Tape (BoE)'!O60=1,"Yes","No")</f>
        <v/>
      </c>
      <c r="P59" s="17">
        <f>IF('Loan Tape (BoE)'!P60=1,"Yes","No")</f>
        <v/>
      </c>
      <c r="Q59" s="17">
        <f>IF('Loan Tape (BoE)'!Q60=1,"Yes","No")</f>
        <v/>
      </c>
      <c r="R59" s="18">
        <f>'Loan Tape (BoE)'!R60</f>
        <v/>
      </c>
      <c r="S59" s="18">
        <f>'Loan Tape (BoE)'!S60</f>
        <v/>
      </c>
      <c r="T59" s="17">
        <f>'Loan Tape (BoE)'!T60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 t="n"/>
      <c r="AQ59" s="17" t="n"/>
      <c r="AR59" s="17" t="n"/>
      <c r="AS59" s="17" t="n"/>
      <c r="AT59" s="17" t="n"/>
      <c r="AU59" s="17" t="n"/>
      <c r="AV59" s="17" t="n"/>
      <c r="AW59" s="17" t="n"/>
    </row>
    <row r="60">
      <c r="A60" s="17">
        <f>'Loan Tape (BoE)'!A61</f>
        <v/>
      </c>
      <c r="B60" s="18">
        <f>'Loan Tape (BoE)'!B61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IFERROR(IFS('Loan Tape (BoE)'!N61=1,"Repayment",'Loan Tape (BoE)'!N61=2,"Interest Only",'Loan Tape (BoE)'!N61=3,"Part &amp; Part"),"")</f>
        <v/>
      </c>
      <c r="O60" s="17">
        <f>IF('Loan Tape (BoE)'!O61=1,"Yes","No")</f>
        <v/>
      </c>
      <c r="P60" s="17">
        <f>IF('Loan Tape (BoE)'!P61=1,"Yes","No")</f>
        <v/>
      </c>
      <c r="Q60" s="17">
        <f>IF('Loan Tape (BoE)'!Q61=1,"Yes","No")</f>
        <v/>
      </c>
      <c r="R60" s="18">
        <f>'Loan Tape (BoE)'!R61</f>
        <v/>
      </c>
      <c r="S60" s="18">
        <f>'Loan Tape (BoE)'!S61</f>
        <v/>
      </c>
      <c r="T60" s="17">
        <f>'Loan Tape (BoE)'!T61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 t="n"/>
      <c r="AQ60" s="17" t="n"/>
      <c r="AR60" s="17" t="n"/>
      <c r="AS60" s="17" t="n"/>
      <c r="AT60" s="17" t="n"/>
      <c r="AU60" s="17" t="n"/>
      <c r="AV60" s="17" t="n"/>
      <c r="AW60" s="17" t="n"/>
    </row>
    <row r="61">
      <c r="A61" s="17">
        <f>'Loan Tape (BoE)'!A62</f>
        <v/>
      </c>
      <c r="B61" s="18">
        <f>'Loan Tape (BoE)'!B62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IFERROR(IFS('Loan Tape (BoE)'!N62=1,"Repayment",'Loan Tape (BoE)'!N62=2,"Interest Only",'Loan Tape (BoE)'!N62=3,"Part &amp; Part"),"")</f>
        <v/>
      </c>
      <c r="O61" s="17">
        <f>IF('Loan Tape (BoE)'!O62=1,"Yes","No")</f>
        <v/>
      </c>
      <c r="P61" s="17">
        <f>IF('Loan Tape (BoE)'!P62=1,"Yes","No")</f>
        <v/>
      </c>
      <c r="Q61" s="17">
        <f>IF('Loan Tape (BoE)'!Q62=1,"Yes","No")</f>
        <v/>
      </c>
      <c r="R61" s="18">
        <f>'Loan Tape (BoE)'!R62</f>
        <v/>
      </c>
      <c r="S61" s="18">
        <f>'Loan Tape (BoE)'!S62</f>
        <v/>
      </c>
      <c r="T61" s="17">
        <f>'Loan Tape (BoE)'!T62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 t="n"/>
      <c r="AQ61" s="17" t="n"/>
      <c r="AR61" s="17" t="n"/>
      <c r="AS61" s="17" t="n"/>
      <c r="AT61" s="17" t="n"/>
      <c r="AU61" s="17" t="n"/>
      <c r="AV61" s="17" t="n"/>
      <c r="AW61" s="17" t="n"/>
    </row>
    <row r="62">
      <c r="A62" s="17">
        <f>'Loan Tape (BoE)'!A63</f>
        <v/>
      </c>
      <c r="B62" s="18">
        <f>'Loan Tape (BoE)'!B63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IFERROR(IFS('Loan Tape (BoE)'!N63=1,"Repayment",'Loan Tape (BoE)'!N63=2,"Interest Only",'Loan Tape (BoE)'!N63=3,"Part &amp; Part"),"")</f>
        <v/>
      </c>
      <c r="O62" s="17">
        <f>IF('Loan Tape (BoE)'!O63=1,"Yes","No")</f>
        <v/>
      </c>
      <c r="P62" s="17">
        <f>IF('Loan Tape (BoE)'!P63=1,"Yes","No")</f>
        <v/>
      </c>
      <c r="Q62" s="17">
        <f>IF('Loan Tape (BoE)'!Q63=1,"Yes","No")</f>
        <v/>
      </c>
      <c r="R62" s="18">
        <f>'Loan Tape (BoE)'!R63</f>
        <v/>
      </c>
      <c r="S62" s="18">
        <f>'Loan Tape (BoE)'!S63</f>
        <v/>
      </c>
      <c r="T62" s="17">
        <f>'Loan Tape (BoE)'!T63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 t="n"/>
      <c r="AQ62" s="17" t="n"/>
      <c r="AR62" s="17" t="n"/>
      <c r="AS62" s="17" t="n"/>
      <c r="AT62" s="17" t="n"/>
      <c r="AU62" s="17" t="n"/>
      <c r="AV62" s="17" t="n"/>
      <c r="AW62" s="17" t="n"/>
    </row>
    <row r="63">
      <c r="A63" s="17">
        <f>'Loan Tape (BoE)'!A64</f>
        <v/>
      </c>
      <c r="B63" s="18">
        <f>'Loan Tape (BoE)'!B64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IFERROR(IFS('Loan Tape (BoE)'!N64=1,"Repayment",'Loan Tape (BoE)'!N64=2,"Interest Only",'Loan Tape (BoE)'!N64=3,"Part &amp; Part"),"")</f>
        <v/>
      </c>
      <c r="O63" s="17">
        <f>IF('Loan Tape (BoE)'!O64=1,"Yes","No")</f>
        <v/>
      </c>
      <c r="P63" s="17">
        <f>IF('Loan Tape (BoE)'!P64=1,"Yes","No")</f>
        <v/>
      </c>
      <c r="Q63" s="17">
        <f>IF('Loan Tape (BoE)'!Q64=1,"Yes","No")</f>
        <v/>
      </c>
      <c r="R63" s="18">
        <f>'Loan Tape (BoE)'!R64</f>
        <v/>
      </c>
      <c r="S63" s="18">
        <f>'Loan Tape (BoE)'!S64</f>
        <v/>
      </c>
      <c r="T63" s="17">
        <f>'Loan Tape (BoE)'!T64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 t="n"/>
      <c r="AQ63" s="17" t="n"/>
      <c r="AR63" s="17" t="n"/>
      <c r="AS63" s="17" t="n"/>
      <c r="AT63" s="17" t="n"/>
      <c r="AU63" s="17" t="n"/>
      <c r="AV63" s="17" t="n"/>
      <c r="AW63" s="17" t="n"/>
    </row>
    <row r="64">
      <c r="A64" s="17">
        <f>'Loan Tape (BoE)'!A65</f>
        <v/>
      </c>
      <c r="B64" s="18">
        <f>'Loan Tape (BoE)'!B65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IFERROR(IFS('Loan Tape (BoE)'!N65=1,"Repayment",'Loan Tape (BoE)'!N65=2,"Interest Only",'Loan Tape (BoE)'!N65=3,"Part &amp; Part"),"")</f>
        <v/>
      </c>
      <c r="O64" s="17">
        <f>IF('Loan Tape (BoE)'!O65=1,"Yes","No")</f>
        <v/>
      </c>
      <c r="P64" s="17">
        <f>IF('Loan Tape (BoE)'!P65=1,"Yes","No")</f>
        <v/>
      </c>
      <c r="Q64" s="17">
        <f>IF('Loan Tape (BoE)'!Q65=1,"Yes","No")</f>
        <v/>
      </c>
      <c r="R64" s="18">
        <f>'Loan Tape (BoE)'!R65</f>
        <v/>
      </c>
      <c r="S64" s="18">
        <f>'Loan Tape (BoE)'!S65</f>
        <v/>
      </c>
      <c r="T64" s="17">
        <f>'Loan Tape (BoE)'!T65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 t="n"/>
      <c r="AQ64" s="17" t="n"/>
      <c r="AR64" s="17" t="n"/>
      <c r="AS64" s="17" t="n"/>
      <c r="AT64" s="17" t="n"/>
      <c r="AU64" s="17" t="n"/>
      <c r="AV64" s="17" t="n"/>
      <c r="AW64" s="17" t="n"/>
    </row>
    <row r="65">
      <c r="A65" s="17">
        <f>'Loan Tape (BoE)'!A66</f>
        <v/>
      </c>
      <c r="B65" s="18">
        <f>'Loan Tape (BoE)'!B66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IFERROR(IFS('Loan Tape (BoE)'!N66=1,"Repayment",'Loan Tape (BoE)'!N66=2,"Interest Only",'Loan Tape (BoE)'!N66=3,"Part &amp; Part"),"")</f>
        <v/>
      </c>
      <c r="O65" s="17">
        <f>IF('Loan Tape (BoE)'!O66=1,"Yes","No")</f>
        <v/>
      </c>
      <c r="P65" s="17">
        <f>IF('Loan Tape (BoE)'!P66=1,"Yes","No")</f>
        <v/>
      </c>
      <c r="Q65" s="17">
        <f>IF('Loan Tape (BoE)'!Q66=1,"Yes","No")</f>
        <v/>
      </c>
      <c r="R65" s="18">
        <f>'Loan Tape (BoE)'!R66</f>
        <v/>
      </c>
      <c r="S65" s="18">
        <f>'Loan Tape (BoE)'!S66</f>
        <v/>
      </c>
      <c r="T65" s="17">
        <f>'Loan Tape (BoE)'!T66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 t="n"/>
      <c r="AQ65" s="17" t="n"/>
      <c r="AR65" s="17" t="n"/>
      <c r="AS65" s="17" t="n"/>
      <c r="AT65" s="17" t="n"/>
      <c r="AU65" s="17" t="n"/>
      <c r="AV65" s="17" t="n"/>
      <c r="AW65" s="17" t="n"/>
    </row>
    <row r="66">
      <c r="A66" s="17">
        <f>'Loan Tape (BoE)'!A67</f>
        <v/>
      </c>
      <c r="B66" s="18">
        <f>'Loan Tape (BoE)'!B67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IFERROR(IFS('Loan Tape (BoE)'!N67=1,"Repayment",'Loan Tape (BoE)'!N67=2,"Interest Only",'Loan Tape (BoE)'!N67=3,"Part &amp; Part"),"")</f>
        <v/>
      </c>
      <c r="O66" s="17">
        <f>IF('Loan Tape (BoE)'!O67=1,"Yes","No")</f>
        <v/>
      </c>
      <c r="P66" s="17">
        <f>IF('Loan Tape (BoE)'!P67=1,"Yes","No")</f>
        <v/>
      </c>
      <c r="Q66" s="17">
        <f>IF('Loan Tape (BoE)'!Q67=1,"Yes","No")</f>
        <v/>
      </c>
      <c r="R66" s="18">
        <f>'Loan Tape (BoE)'!R67</f>
        <v/>
      </c>
      <c r="S66" s="18">
        <f>'Loan Tape (BoE)'!S67</f>
        <v/>
      </c>
      <c r="T66" s="17">
        <f>'Loan Tape (BoE)'!T67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 t="n"/>
      <c r="AQ66" s="17" t="n"/>
      <c r="AR66" s="17" t="n"/>
      <c r="AS66" s="17" t="n"/>
      <c r="AT66" s="17" t="n"/>
      <c r="AU66" s="17" t="n"/>
      <c r="AV66" s="17" t="n"/>
      <c r="AW66" s="17" t="n"/>
    </row>
    <row r="67">
      <c r="A67" s="17">
        <f>'Loan Tape (BoE)'!A68</f>
        <v/>
      </c>
      <c r="B67" s="18">
        <f>'Loan Tape (BoE)'!B68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IFERROR(IFS('Loan Tape (BoE)'!N68=1,"Repayment",'Loan Tape (BoE)'!N68=2,"Interest Only",'Loan Tape (BoE)'!N68=3,"Part &amp; Part"),"")</f>
        <v/>
      </c>
      <c r="O67" s="17">
        <f>IF('Loan Tape (BoE)'!O68=1,"Yes","No")</f>
        <v/>
      </c>
      <c r="P67" s="17">
        <f>IF('Loan Tape (BoE)'!P68=1,"Yes","No")</f>
        <v/>
      </c>
      <c r="Q67" s="17">
        <f>IF('Loan Tape (BoE)'!Q68=1,"Yes","No")</f>
        <v/>
      </c>
      <c r="R67" s="18">
        <f>'Loan Tape (BoE)'!R68</f>
        <v/>
      </c>
      <c r="S67" s="18">
        <f>'Loan Tape (BoE)'!S68</f>
        <v/>
      </c>
      <c r="T67" s="17">
        <f>'Loan Tape (BoE)'!T68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 t="n"/>
      <c r="AQ67" s="17" t="n"/>
      <c r="AR67" s="17" t="n"/>
      <c r="AS67" s="17" t="n"/>
      <c r="AT67" s="17" t="n"/>
      <c r="AU67" s="17" t="n"/>
      <c r="AV67" s="17" t="n"/>
      <c r="AW67" s="17" t="n"/>
    </row>
    <row r="68">
      <c r="A68" s="17">
        <f>'Loan Tape (BoE)'!A69</f>
        <v/>
      </c>
      <c r="B68" s="18">
        <f>'Loan Tape (BoE)'!B69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IFERROR(IFS('Loan Tape (BoE)'!N69=1,"Repayment",'Loan Tape (BoE)'!N69=2,"Interest Only",'Loan Tape (BoE)'!N69=3,"Part &amp; Part"),"")</f>
        <v/>
      </c>
      <c r="O68" s="17">
        <f>IF('Loan Tape (BoE)'!O69=1,"Yes","No")</f>
        <v/>
      </c>
      <c r="P68" s="17">
        <f>IF('Loan Tape (BoE)'!P69=1,"Yes","No")</f>
        <v/>
      </c>
      <c r="Q68" s="17">
        <f>IF('Loan Tape (BoE)'!Q69=1,"Yes","No")</f>
        <v/>
      </c>
      <c r="R68" s="18">
        <f>'Loan Tape (BoE)'!R69</f>
        <v/>
      </c>
      <c r="S68" s="18">
        <f>'Loan Tape (BoE)'!S69</f>
        <v/>
      </c>
      <c r="T68" s="17">
        <f>'Loan Tape (BoE)'!T69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 t="n"/>
      <c r="AQ68" s="17" t="n"/>
      <c r="AR68" s="17" t="n"/>
      <c r="AS68" s="17" t="n"/>
      <c r="AT68" s="17" t="n"/>
      <c r="AU68" s="17" t="n"/>
      <c r="AV68" s="17" t="n"/>
      <c r="AW68" s="17" t="n"/>
    </row>
    <row r="69">
      <c r="A69" s="17">
        <f>'Loan Tape (BoE)'!A70</f>
        <v/>
      </c>
      <c r="B69" s="18">
        <f>'Loan Tape (BoE)'!B70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IFERROR(IFS('Loan Tape (BoE)'!N70=1,"Repayment",'Loan Tape (BoE)'!N70=2,"Interest Only",'Loan Tape (BoE)'!N70=3,"Part &amp; Part"),"")</f>
        <v/>
      </c>
      <c r="O69" s="17">
        <f>IF('Loan Tape (BoE)'!O70=1,"Yes","No")</f>
        <v/>
      </c>
      <c r="P69" s="17">
        <f>IF('Loan Tape (BoE)'!P70=1,"Yes","No")</f>
        <v/>
      </c>
      <c r="Q69" s="17">
        <f>IF('Loan Tape (BoE)'!Q70=1,"Yes","No")</f>
        <v/>
      </c>
      <c r="R69" s="18">
        <f>'Loan Tape (BoE)'!R70</f>
        <v/>
      </c>
      <c r="S69" s="18">
        <f>'Loan Tape (BoE)'!S70</f>
        <v/>
      </c>
      <c r="T69" s="17">
        <f>'Loan Tape (BoE)'!T70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 t="n"/>
      <c r="AQ69" s="17" t="n"/>
      <c r="AR69" s="17" t="n"/>
      <c r="AS69" s="17" t="n"/>
      <c r="AT69" s="17" t="n"/>
      <c r="AU69" s="17" t="n"/>
      <c r="AV69" s="17" t="n"/>
      <c r="AW69" s="17" t="n"/>
    </row>
    <row r="70">
      <c r="A70" s="17">
        <f>'Loan Tape (BoE)'!A71</f>
        <v/>
      </c>
      <c r="B70" s="18">
        <f>'Loan Tape (BoE)'!B71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IFERROR(IFS('Loan Tape (BoE)'!N71=1,"Repayment",'Loan Tape (BoE)'!N71=2,"Interest Only",'Loan Tape (BoE)'!N71=3,"Part &amp; Part"),"")</f>
        <v/>
      </c>
      <c r="O70" s="17">
        <f>IF('Loan Tape (BoE)'!O71=1,"Yes","No")</f>
        <v/>
      </c>
      <c r="P70" s="17">
        <f>IF('Loan Tape (BoE)'!P71=1,"Yes","No")</f>
        <v/>
      </c>
      <c r="Q70" s="17">
        <f>IF('Loan Tape (BoE)'!Q71=1,"Yes","No")</f>
        <v/>
      </c>
      <c r="R70" s="18">
        <f>'Loan Tape (BoE)'!R71</f>
        <v/>
      </c>
      <c r="S70" s="18">
        <f>'Loan Tape (BoE)'!S71</f>
        <v/>
      </c>
      <c r="T70" s="17">
        <f>'Loan Tape (BoE)'!T71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 t="n"/>
      <c r="AQ70" s="17" t="n"/>
      <c r="AR70" s="17" t="n"/>
      <c r="AS70" s="17" t="n"/>
      <c r="AT70" s="17" t="n"/>
      <c r="AU70" s="17" t="n"/>
      <c r="AV70" s="17" t="n"/>
      <c r="AW70" s="17" t="n"/>
    </row>
    <row r="71">
      <c r="A71" s="17">
        <f>'Loan Tape (BoE)'!A72</f>
        <v/>
      </c>
      <c r="B71" s="18">
        <f>'Loan Tape (BoE)'!B72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IFERROR(IFS('Loan Tape (BoE)'!N72=1,"Repayment",'Loan Tape (BoE)'!N72=2,"Interest Only",'Loan Tape (BoE)'!N72=3,"Part &amp; Part"),"")</f>
        <v/>
      </c>
      <c r="O71" s="17">
        <f>IF('Loan Tape (BoE)'!O72=1,"Yes","No")</f>
        <v/>
      </c>
      <c r="P71" s="17">
        <f>IF('Loan Tape (BoE)'!P72=1,"Yes","No")</f>
        <v/>
      </c>
      <c r="Q71" s="17">
        <f>IF('Loan Tape (BoE)'!Q72=1,"Yes","No")</f>
        <v/>
      </c>
      <c r="R71" s="18">
        <f>'Loan Tape (BoE)'!R72</f>
        <v/>
      </c>
      <c r="S71" s="18">
        <f>'Loan Tape (BoE)'!S72</f>
        <v/>
      </c>
      <c r="T71" s="17">
        <f>'Loan Tape (BoE)'!T72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 t="n"/>
      <c r="AQ71" s="17" t="n"/>
      <c r="AR71" s="17" t="n"/>
      <c r="AS71" s="17" t="n"/>
      <c r="AT71" s="17" t="n"/>
      <c r="AU71" s="17" t="n"/>
      <c r="AV71" s="17" t="n"/>
      <c r="AW71" s="17" t="n"/>
    </row>
    <row r="72">
      <c r="A72" s="17">
        <f>'Loan Tape (BoE)'!A73</f>
        <v/>
      </c>
      <c r="B72" s="18">
        <f>'Loan Tape (BoE)'!B73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IFERROR(IFS('Loan Tape (BoE)'!N73=1,"Repayment",'Loan Tape (BoE)'!N73=2,"Interest Only",'Loan Tape (BoE)'!N73=3,"Part &amp; Part"),"")</f>
        <v/>
      </c>
      <c r="O72" s="17">
        <f>IF('Loan Tape (BoE)'!O73=1,"Yes","No")</f>
        <v/>
      </c>
      <c r="P72" s="17">
        <f>IF('Loan Tape (BoE)'!P73=1,"Yes","No")</f>
        <v/>
      </c>
      <c r="Q72" s="17">
        <f>IF('Loan Tape (BoE)'!Q73=1,"Yes","No")</f>
        <v/>
      </c>
      <c r="R72" s="18">
        <f>'Loan Tape (BoE)'!R73</f>
        <v/>
      </c>
      <c r="S72" s="18">
        <f>'Loan Tape (BoE)'!S73</f>
        <v/>
      </c>
      <c r="T72" s="17">
        <f>'Loan Tape (BoE)'!T73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 t="n"/>
      <c r="AQ72" s="17" t="n"/>
      <c r="AR72" s="17" t="n"/>
      <c r="AS72" s="17" t="n"/>
      <c r="AT72" s="17" t="n"/>
      <c r="AU72" s="17" t="n"/>
      <c r="AV72" s="17" t="n"/>
      <c r="AW72" s="17" t="n"/>
    </row>
    <row r="73">
      <c r="A73" s="17">
        <f>'Loan Tape (BoE)'!A74</f>
        <v/>
      </c>
      <c r="B73" s="18">
        <f>'Loan Tape (BoE)'!B74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IFERROR(IFS('Loan Tape (BoE)'!N74=1,"Repayment",'Loan Tape (BoE)'!N74=2,"Interest Only",'Loan Tape (BoE)'!N74=3,"Part &amp; Part"),"")</f>
        <v/>
      </c>
      <c r="O73" s="17">
        <f>IF('Loan Tape (BoE)'!O74=1,"Yes","No")</f>
        <v/>
      </c>
      <c r="P73" s="17">
        <f>IF('Loan Tape (BoE)'!P74=1,"Yes","No")</f>
        <v/>
      </c>
      <c r="Q73" s="17">
        <f>IF('Loan Tape (BoE)'!Q74=1,"Yes","No")</f>
        <v/>
      </c>
      <c r="R73" s="18">
        <f>'Loan Tape (BoE)'!R74</f>
        <v/>
      </c>
      <c r="S73" s="18">
        <f>'Loan Tape (BoE)'!S74</f>
        <v/>
      </c>
      <c r="T73" s="17">
        <f>'Loan Tape (BoE)'!T74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 t="n"/>
      <c r="AQ73" s="17" t="n"/>
      <c r="AR73" s="17" t="n"/>
      <c r="AS73" s="17" t="n"/>
      <c r="AT73" s="17" t="n"/>
      <c r="AU73" s="17" t="n"/>
      <c r="AV73" s="17" t="n"/>
      <c r="AW73" s="17" t="n"/>
    </row>
    <row r="74">
      <c r="A74" s="17">
        <f>'Loan Tape (BoE)'!A75</f>
        <v/>
      </c>
      <c r="B74" s="18">
        <f>'Loan Tape (BoE)'!B75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IFERROR(IFS('Loan Tape (BoE)'!N75=1,"Repayment",'Loan Tape (BoE)'!N75=2,"Interest Only",'Loan Tape (BoE)'!N75=3,"Part &amp; Part"),"")</f>
        <v/>
      </c>
      <c r="O74" s="17">
        <f>IF('Loan Tape (BoE)'!O75=1,"Yes","No")</f>
        <v/>
      </c>
      <c r="P74" s="17">
        <f>IF('Loan Tape (BoE)'!P75=1,"Yes","No")</f>
        <v/>
      </c>
      <c r="Q74" s="17">
        <f>IF('Loan Tape (BoE)'!Q75=1,"Yes","No")</f>
        <v/>
      </c>
      <c r="R74" s="18">
        <f>'Loan Tape (BoE)'!R75</f>
        <v/>
      </c>
      <c r="S74" s="18">
        <f>'Loan Tape (BoE)'!S75</f>
        <v/>
      </c>
      <c r="T74" s="17">
        <f>'Loan Tape (BoE)'!T75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 t="n"/>
      <c r="AQ74" s="17" t="n"/>
      <c r="AR74" s="17" t="n"/>
      <c r="AS74" s="17" t="n"/>
      <c r="AT74" s="17" t="n"/>
      <c r="AU74" s="17" t="n"/>
      <c r="AV74" s="17" t="n"/>
      <c r="AW74" s="17" t="n"/>
    </row>
    <row r="75">
      <c r="A75" s="17">
        <f>'Loan Tape (BoE)'!A76</f>
        <v/>
      </c>
      <c r="B75" s="18">
        <f>'Loan Tape (BoE)'!B76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IFERROR(IFS('Loan Tape (BoE)'!N76=1,"Repayment",'Loan Tape (BoE)'!N76=2,"Interest Only",'Loan Tape (BoE)'!N76=3,"Part &amp; Part"),"")</f>
        <v/>
      </c>
      <c r="O75" s="17">
        <f>IF('Loan Tape (BoE)'!O76=1,"Yes","No")</f>
        <v/>
      </c>
      <c r="P75" s="17">
        <f>IF('Loan Tape (BoE)'!P76=1,"Yes","No")</f>
        <v/>
      </c>
      <c r="Q75" s="17">
        <f>IF('Loan Tape (BoE)'!Q76=1,"Yes","No")</f>
        <v/>
      </c>
      <c r="R75" s="18">
        <f>'Loan Tape (BoE)'!R76</f>
        <v/>
      </c>
      <c r="S75" s="18">
        <f>'Loan Tape (BoE)'!S76</f>
        <v/>
      </c>
      <c r="T75" s="17">
        <f>'Loan Tape (BoE)'!T76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 t="n"/>
      <c r="AQ75" s="17" t="n"/>
      <c r="AR75" s="17" t="n"/>
      <c r="AS75" s="17" t="n"/>
      <c r="AT75" s="17" t="n"/>
      <c r="AU75" s="17" t="n"/>
      <c r="AV75" s="17" t="n"/>
      <c r="AW75" s="17" t="n"/>
    </row>
    <row r="76">
      <c r="A76" s="17">
        <f>'Loan Tape (BoE)'!A77</f>
        <v/>
      </c>
      <c r="B76" s="18">
        <f>'Loan Tape (BoE)'!B77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IFERROR(IFS('Loan Tape (BoE)'!N77=1,"Repayment",'Loan Tape (BoE)'!N77=2,"Interest Only",'Loan Tape (BoE)'!N77=3,"Part &amp; Part"),"")</f>
        <v/>
      </c>
      <c r="O76" s="17">
        <f>IF('Loan Tape (BoE)'!O77=1,"Yes","No")</f>
        <v/>
      </c>
      <c r="P76" s="17">
        <f>IF('Loan Tape (BoE)'!P77=1,"Yes","No")</f>
        <v/>
      </c>
      <c r="Q76" s="17">
        <f>IF('Loan Tape (BoE)'!Q77=1,"Yes","No")</f>
        <v/>
      </c>
      <c r="R76" s="18">
        <f>'Loan Tape (BoE)'!R77</f>
        <v/>
      </c>
      <c r="S76" s="18">
        <f>'Loan Tape (BoE)'!S77</f>
        <v/>
      </c>
      <c r="T76" s="17">
        <f>'Loan Tape (BoE)'!T77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 t="n"/>
      <c r="AQ76" s="17" t="n"/>
      <c r="AR76" s="17" t="n"/>
      <c r="AS76" s="17" t="n"/>
      <c r="AT76" s="17" t="n"/>
      <c r="AU76" s="17" t="n"/>
      <c r="AV76" s="17" t="n"/>
      <c r="AW76" s="17" t="n"/>
    </row>
    <row r="77">
      <c r="A77" s="17">
        <f>'Loan Tape (BoE)'!A78</f>
        <v/>
      </c>
      <c r="B77" s="18">
        <f>'Loan Tape (BoE)'!B78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IFERROR(IFS('Loan Tape (BoE)'!N78=1,"Repayment",'Loan Tape (BoE)'!N78=2,"Interest Only",'Loan Tape (BoE)'!N78=3,"Part &amp; Part"),"")</f>
        <v/>
      </c>
      <c r="O77" s="17">
        <f>IF('Loan Tape (BoE)'!O78=1,"Yes","No")</f>
        <v/>
      </c>
      <c r="P77" s="17">
        <f>IF('Loan Tape (BoE)'!P78=1,"Yes","No")</f>
        <v/>
      </c>
      <c r="Q77" s="17">
        <f>IF('Loan Tape (BoE)'!Q78=1,"Yes","No")</f>
        <v/>
      </c>
      <c r="R77" s="18">
        <f>'Loan Tape (BoE)'!R78</f>
        <v/>
      </c>
      <c r="S77" s="18">
        <f>'Loan Tape (BoE)'!S78</f>
        <v/>
      </c>
      <c r="T77" s="17">
        <f>'Loan Tape (BoE)'!T78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 t="n"/>
      <c r="AQ77" s="17" t="n"/>
      <c r="AR77" s="17" t="n"/>
      <c r="AS77" s="17" t="n"/>
      <c r="AT77" s="17" t="n"/>
      <c r="AU77" s="17" t="n"/>
      <c r="AV77" s="17" t="n"/>
      <c r="AW77" s="17" t="n"/>
    </row>
    <row r="78">
      <c r="A78" s="17">
        <f>'Loan Tape (BoE)'!A79</f>
        <v/>
      </c>
      <c r="B78" s="18">
        <f>'Loan Tape (BoE)'!B79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IFERROR(IFS('Loan Tape (BoE)'!N79=1,"Repayment",'Loan Tape (BoE)'!N79=2,"Interest Only",'Loan Tape (BoE)'!N79=3,"Part &amp; Part"),"")</f>
        <v/>
      </c>
      <c r="O78" s="17">
        <f>IF('Loan Tape (BoE)'!O79=1,"Yes","No")</f>
        <v/>
      </c>
      <c r="P78" s="17">
        <f>IF('Loan Tape (BoE)'!P79=1,"Yes","No")</f>
        <v/>
      </c>
      <c r="Q78" s="17">
        <f>IF('Loan Tape (BoE)'!Q79=1,"Yes","No")</f>
        <v/>
      </c>
      <c r="R78" s="18">
        <f>'Loan Tape (BoE)'!R79</f>
        <v/>
      </c>
      <c r="S78" s="18">
        <f>'Loan Tape (BoE)'!S79</f>
        <v/>
      </c>
      <c r="T78" s="17">
        <f>'Loan Tape (BoE)'!T79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 t="n"/>
      <c r="AQ78" s="17" t="n"/>
      <c r="AR78" s="17" t="n"/>
      <c r="AS78" s="17" t="n"/>
      <c r="AT78" s="17" t="n"/>
      <c r="AU78" s="17" t="n"/>
      <c r="AV78" s="17" t="n"/>
      <c r="AW78" s="17" t="n"/>
    </row>
    <row r="79">
      <c r="A79" s="17">
        <f>'Loan Tape (BoE)'!A80</f>
        <v/>
      </c>
      <c r="B79" s="18">
        <f>'Loan Tape (BoE)'!B80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IFERROR(IFS('Loan Tape (BoE)'!N80=1,"Repayment",'Loan Tape (BoE)'!N80=2,"Interest Only",'Loan Tape (BoE)'!N80=3,"Part &amp; Part"),"")</f>
        <v/>
      </c>
      <c r="O79" s="17">
        <f>IF('Loan Tape (BoE)'!O80=1,"Yes","No")</f>
        <v/>
      </c>
      <c r="P79" s="17">
        <f>IF('Loan Tape (BoE)'!P80=1,"Yes","No")</f>
        <v/>
      </c>
      <c r="Q79" s="17">
        <f>IF('Loan Tape (BoE)'!Q80=1,"Yes","No")</f>
        <v/>
      </c>
      <c r="R79" s="18">
        <f>'Loan Tape (BoE)'!R80</f>
        <v/>
      </c>
      <c r="S79" s="18">
        <f>'Loan Tape (BoE)'!S80</f>
        <v/>
      </c>
      <c r="T79" s="17">
        <f>'Loan Tape (BoE)'!T80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 t="n"/>
      <c r="AQ79" s="17" t="n"/>
      <c r="AR79" s="17" t="n"/>
      <c r="AS79" s="17" t="n"/>
      <c r="AT79" s="17" t="n"/>
      <c r="AU79" s="17" t="n"/>
      <c r="AV79" s="17" t="n"/>
      <c r="AW79" s="17" t="n"/>
    </row>
    <row r="80">
      <c r="A80" s="17">
        <f>'Loan Tape (BoE)'!A81</f>
        <v/>
      </c>
      <c r="B80" s="18">
        <f>'Loan Tape (BoE)'!B81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IFERROR(IFS('Loan Tape (BoE)'!N81=1,"Repayment",'Loan Tape (BoE)'!N81=2,"Interest Only",'Loan Tape (BoE)'!N81=3,"Part &amp; Part"),"")</f>
        <v/>
      </c>
      <c r="O80" s="17">
        <f>IF('Loan Tape (BoE)'!O81=1,"Yes","No")</f>
        <v/>
      </c>
      <c r="P80" s="17">
        <f>IF('Loan Tape (BoE)'!P81=1,"Yes","No")</f>
        <v/>
      </c>
      <c r="Q80" s="17">
        <f>IF('Loan Tape (BoE)'!Q81=1,"Yes","No")</f>
        <v/>
      </c>
      <c r="R80" s="18">
        <f>'Loan Tape (BoE)'!R81</f>
        <v/>
      </c>
      <c r="S80" s="18">
        <f>'Loan Tape (BoE)'!S81</f>
        <v/>
      </c>
      <c r="T80" s="17">
        <f>'Loan Tape (BoE)'!T81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 t="n"/>
      <c r="AQ80" s="17" t="n"/>
      <c r="AR80" s="17" t="n"/>
      <c r="AS80" s="17" t="n"/>
      <c r="AT80" s="17" t="n"/>
      <c r="AU80" s="17" t="n"/>
      <c r="AV80" s="17" t="n"/>
      <c r="AW80" s="17" t="n"/>
    </row>
    <row r="81">
      <c r="A81" s="17">
        <f>'Loan Tape (BoE)'!A82</f>
        <v/>
      </c>
      <c r="B81" s="18">
        <f>'Loan Tape (BoE)'!B82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IFERROR(IFS('Loan Tape (BoE)'!N82=1,"Repayment",'Loan Tape (BoE)'!N82=2,"Interest Only",'Loan Tape (BoE)'!N82=3,"Part &amp; Part"),"")</f>
        <v/>
      </c>
      <c r="O81" s="17">
        <f>IF('Loan Tape (BoE)'!O82=1,"Yes","No")</f>
        <v/>
      </c>
      <c r="P81" s="17">
        <f>IF('Loan Tape (BoE)'!P82=1,"Yes","No")</f>
        <v/>
      </c>
      <c r="Q81" s="17">
        <f>IF('Loan Tape (BoE)'!Q82=1,"Yes","No")</f>
        <v/>
      </c>
      <c r="R81" s="18">
        <f>'Loan Tape (BoE)'!R82</f>
        <v/>
      </c>
      <c r="S81" s="18">
        <f>'Loan Tape (BoE)'!S82</f>
        <v/>
      </c>
      <c r="T81" s="17">
        <f>'Loan Tape (BoE)'!T82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 t="n"/>
      <c r="AQ81" s="17" t="n"/>
      <c r="AR81" s="17" t="n"/>
      <c r="AS81" s="17" t="n"/>
      <c r="AT81" s="17" t="n"/>
      <c r="AU81" s="17" t="n"/>
      <c r="AV81" s="17" t="n"/>
      <c r="AW81" s="17" t="n"/>
    </row>
    <row r="82">
      <c r="A82" s="17">
        <f>'Loan Tape (BoE)'!A83</f>
        <v/>
      </c>
      <c r="B82" s="18">
        <f>'Loan Tape (BoE)'!B83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IFERROR(IFS('Loan Tape (BoE)'!N83=1,"Repayment",'Loan Tape (BoE)'!N83=2,"Interest Only",'Loan Tape (BoE)'!N83=3,"Part &amp; Part"),"")</f>
        <v/>
      </c>
      <c r="O82" s="17">
        <f>IF('Loan Tape (BoE)'!O83=1,"Yes","No")</f>
        <v/>
      </c>
      <c r="P82" s="17">
        <f>IF('Loan Tape (BoE)'!P83=1,"Yes","No")</f>
        <v/>
      </c>
      <c r="Q82" s="17">
        <f>IF('Loan Tape (BoE)'!Q83=1,"Yes","No")</f>
        <v/>
      </c>
      <c r="R82" s="18">
        <f>'Loan Tape (BoE)'!R83</f>
        <v/>
      </c>
      <c r="S82" s="18">
        <f>'Loan Tape (BoE)'!S83</f>
        <v/>
      </c>
      <c r="T82" s="17">
        <f>'Loan Tape (BoE)'!T83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 t="n"/>
      <c r="AQ82" s="17" t="n"/>
      <c r="AR82" s="17" t="n"/>
      <c r="AS82" s="17" t="n"/>
      <c r="AT82" s="17" t="n"/>
      <c r="AU82" s="17" t="n"/>
      <c r="AV82" s="17" t="n"/>
      <c r="AW82" s="17" t="n"/>
    </row>
    <row r="83">
      <c r="A83" s="17">
        <f>'Loan Tape (BoE)'!A84</f>
        <v/>
      </c>
      <c r="B83" s="18">
        <f>'Loan Tape (BoE)'!B84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IFERROR(IFS('Loan Tape (BoE)'!N84=1,"Repayment",'Loan Tape (BoE)'!N84=2,"Interest Only",'Loan Tape (BoE)'!N84=3,"Part &amp; Part"),"")</f>
        <v/>
      </c>
      <c r="O83" s="17">
        <f>IF('Loan Tape (BoE)'!O84=1,"Yes","No")</f>
        <v/>
      </c>
      <c r="P83" s="17">
        <f>IF('Loan Tape (BoE)'!P84=1,"Yes","No")</f>
        <v/>
      </c>
      <c r="Q83" s="17">
        <f>IF('Loan Tape (BoE)'!Q84=1,"Yes","No")</f>
        <v/>
      </c>
      <c r="R83" s="18">
        <f>'Loan Tape (BoE)'!R84</f>
        <v/>
      </c>
      <c r="S83" s="18">
        <f>'Loan Tape (BoE)'!S84</f>
        <v/>
      </c>
      <c r="T83" s="17">
        <f>'Loan Tape (BoE)'!T84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 t="n"/>
      <c r="AQ83" s="17" t="n"/>
      <c r="AR83" s="17" t="n"/>
      <c r="AS83" s="17" t="n"/>
      <c r="AT83" s="17" t="n"/>
      <c r="AU83" s="17" t="n"/>
      <c r="AV83" s="17" t="n"/>
      <c r="AW83" s="17" t="n"/>
    </row>
    <row r="84">
      <c r="A84" s="17">
        <f>'Loan Tape (BoE)'!A85</f>
        <v/>
      </c>
      <c r="B84" s="18">
        <f>'Loan Tape (BoE)'!B85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IFERROR(IFS('Loan Tape (BoE)'!N85=1,"Repayment",'Loan Tape (BoE)'!N85=2,"Interest Only",'Loan Tape (BoE)'!N85=3,"Part &amp; Part"),"")</f>
        <v/>
      </c>
      <c r="O84" s="17">
        <f>IF('Loan Tape (BoE)'!O85=1,"Yes","No")</f>
        <v/>
      </c>
      <c r="P84" s="17">
        <f>IF('Loan Tape (BoE)'!P85=1,"Yes","No")</f>
        <v/>
      </c>
      <c r="Q84" s="17">
        <f>IF('Loan Tape (BoE)'!Q85=1,"Yes","No")</f>
        <v/>
      </c>
      <c r="R84" s="18">
        <f>'Loan Tape (BoE)'!R85</f>
        <v/>
      </c>
      <c r="S84" s="18">
        <f>'Loan Tape (BoE)'!S85</f>
        <v/>
      </c>
      <c r="T84" s="17">
        <f>'Loan Tape (BoE)'!T85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 t="n"/>
      <c r="AQ84" s="17" t="n"/>
      <c r="AR84" s="17" t="n"/>
      <c r="AS84" s="17" t="n"/>
      <c r="AT84" s="17" t="n"/>
      <c r="AU84" s="17" t="n"/>
      <c r="AV84" s="17" t="n"/>
      <c r="AW84" s="17" t="n"/>
    </row>
    <row r="85">
      <c r="A85" s="17">
        <f>'Loan Tape (BoE)'!A86</f>
        <v/>
      </c>
      <c r="B85" s="18">
        <f>'Loan Tape (BoE)'!B86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IFERROR(IFS('Loan Tape (BoE)'!N86=1,"Repayment",'Loan Tape (BoE)'!N86=2,"Interest Only",'Loan Tape (BoE)'!N86=3,"Part &amp; Part"),"")</f>
        <v/>
      </c>
      <c r="O85" s="17">
        <f>IF('Loan Tape (BoE)'!O86=1,"Yes","No")</f>
        <v/>
      </c>
      <c r="P85" s="17">
        <f>IF('Loan Tape (BoE)'!P86=1,"Yes","No")</f>
        <v/>
      </c>
      <c r="Q85" s="17">
        <f>IF('Loan Tape (BoE)'!Q86=1,"Yes","No")</f>
        <v/>
      </c>
      <c r="R85" s="18">
        <f>'Loan Tape (BoE)'!R86</f>
        <v/>
      </c>
      <c r="S85" s="18">
        <f>'Loan Tape (BoE)'!S86</f>
        <v/>
      </c>
      <c r="T85" s="17">
        <f>'Loan Tape (BoE)'!T86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 t="n"/>
      <c r="AQ85" s="17" t="n"/>
      <c r="AR85" s="17" t="n"/>
      <c r="AS85" s="17" t="n"/>
      <c r="AT85" s="17" t="n"/>
      <c r="AU85" s="17" t="n"/>
      <c r="AV85" s="17" t="n"/>
      <c r="AW85" s="17" t="n"/>
    </row>
    <row r="86">
      <c r="A86" s="17">
        <f>'Loan Tape (BoE)'!A87</f>
        <v/>
      </c>
      <c r="B86" s="18">
        <f>'Loan Tape (BoE)'!B87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IFERROR(IFS('Loan Tape (BoE)'!N87=1,"Repayment",'Loan Tape (BoE)'!N87=2,"Interest Only",'Loan Tape (BoE)'!N87=3,"Part &amp; Part"),"")</f>
        <v/>
      </c>
      <c r="O86" s="17">
        <f>IF('Loan Tape (BoE)'!O87=1,"Yes","No")</f>
        <v/>
      </c>
      <c r="P86" s="17">
        <f>IF('Loan Tape (BoE)'!P87=1,"Yes","No")</f>
        <v/>
      </c>
      <c r="Q86" s="17">
        <f>IF('Loan Tape (BoE)'!Q87=1,"Yes","No")</f>
        <v/>
      </c>
      <c r="R86" s="18">
        <f>'Loan Tape (BoE)'!R87</f>
        <v/>
      </c>
      <c r="S86" s="18">
        <f>'Loan Tape (BoE)'!S87</f>
        <v/>
      </c>
      <c r="T86" s="17">
        <f>'Loan Tape (BoE)'!T87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 t="n"/>
      <c r="AQ86" s="17" t="n"/>
      <c r="AR86" s="17" t="n"/>
      <c r="AS86" s="17" t="n"/>
      <c r="AT86" s="17" t="n"/>
      <c r="AU86" s="17" t="n"/>
      <c r="AV86" s="17" t="n"/>
      <c r="AW86" s="17" t="n"/>
    </row>
    <row r="87">
      <c r="A87" s="17">
        <f>'Loan Tape (BoE)'!A88</f>
        <v/>
      </c>
      <c r="B87" s="18">
        <f>'Loan Tape (BoE)'!B88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IFERROR(IFS('Loan Tape (BoE)'!N88=1,"Repayment",'Loan Tape (BoE)'!N88=2,"Interest Only",'Loan Tape (BoE)'!N88=3,"Part &amp; Part"),"")</f>
        <v/>
      </c>
      <c r="O87" s="17">
        <f>IF('Loan Tape (BoE)'!O88=1,"Yes","No")</f>
        <v/>
      </c>
      <c r="P87" s="17">
        <f>IF('Loan Tape (BoE)'!P88=1,"Yes","No")</f>
        <v/>
      </c>
      <c r="Q87" s="17">
        <f>IF('Loan Tape (BoE)'!Q88=1,"Yes","No")</f>
        <v/>
      </c>
      <c r="R87" s="18">
        <f>'Loan Tape (BoE)'!R88</f>
        <v/>
      </c>
      <c r="S87" s="18">
        <f>'Loan Tape (BoE)'!S88</f>
        <v/>
      </c>
      <c r="T87" s="17">
        <f>'Loan Tape (BoE)'!T88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 t="n"/>
      <c r="AQ87" s="17" t="n"/>
      <c r="AR87" s="17" t="n"/>
      <c r="AS87" s="17" t="n"/>
      <c r="AT87" s="17" t="n"/>
      <c r="AU87" s="17" t="n"/>
      <c r="AV87" s="17" t="n"/>
      <c r="AW87" s="17" t="n"/>
    </row>
    <row r="88">
      <c r="A88" s="17">
        <f>'Loan Tape (BoE)'!A89</f>
        <v/>
      </c>
      <c r="B88" s="18">
        <f>'Loan Tape (BoE)'!B89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IFERROR(IFS('Loan Tape (BoE)'!N89=1,"Repayment",'Loan Tape (BoE)'!N89=2,"Interest Only",'Loan Tape (BoE)'!N89=3,"Part &amp; Part"),"")</f>
        <v/>
      </c>
      <c r="O88" s="17">
        <f>IF('Loan Tape (BoE)'!O89=1,"Yes","No")</f>
        <v/>
      </c>
      <c r="P88" s="17">
        <f>IF('Loan Tape (BoE)'!P89=1,"Yes","No")</f>
        <v/>
      </c>
      <c r="Q88" s="17">
        <f>IF('Loan Tape (BoE)'!Q89=1,"Yes","No")</f>
        <v/>
      </c>
      <c r="R88" s="18">
        <f>'Loan Tape (BoE)'!R89</f>
        <v/>
      </c>
      <c r="S88" s="18">
        <f>'Loan Tape (BoE)'!S89</f>
        <v/>
      </c>
      <c r="T88" s="17">
        <f>'Loan Tape (BoE)'!T89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 t="n"/>
      <c r="AQ88" s="17" t="n"/>
      <c r="AR88" s="17" t="n"/>
      <c r="AS88" s="17" t="n"/>
      <c r="AT88" s="17" t="n"/>
      <c r="AU88" s="17" t="n"/>
      <c r="AV88" s="17" t="n"/>
      <c r="AW88" s="17" t="n"/>
    </row>
    <row r="89">
      <c r="A89" s="17">
        <f>'Loan Tape (BoE)'!A90</f>
        <v/>
      </c>
      <c r="B89" s="18">
        <f>'Loan Tape (BoE)'!B90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IFERROR(IFS('Loan Tape (BoE)'!N90=1,"Repayment",'Loan Tape (BoE)'!N90=2,"Interest Only",'Loan Tape (BoE)'!N90=3,"Part &amp; Part"),"")</f>
        <v/>
      </c>
      <c r="O89" s="17">
        <f>IF('Loan Tape (BoE)'!O90=1,"Yes","No")</f>
        <v/>
      </c>
      <c r="P89" s="17">
        <f>IF('Loan Tape (BoE)'!P90=1,"Yes","No")</f>
        <v/>
      </c>
      <c r="Q89" s="17">
        <f>IF('Loan Tape (BoE)'!Q90=1,"Yes","No")</f>
        <v/>
      </c>
      <c r="R89" s="18">
        <f>'Loan Tape (BoE)'!R90</f>
        <v/>
      </c>
      <c r="S89" s="18">
        <f>'Loan Tape (BoE)'!S90</f>
        <v/>
      </c>
      <c r="T89" s="17">
        <f>'Loan Tape (BoE)'!T90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 t="n"/>
      <c r="AQ89" s="17" t="n"/>
      <c r="AR89" s="17" t="n"/>
      <c r="AS89" s="17" t="n"/>
      <c r="AT89" s="17" t="n"/>
      <c r="AU89" s="17" t="n"/>
      <c r="AV89" s="17" t="n"/>
      <c r="AW89" s="17" t="n"/>
    </row>
    <row r="90">
      <c r="A90" s="17">
        <f>'Loan Tape (BoE)'!A91</f>
        <v/>
      </c>
      <c r="B90" s="18">
        <f>'Loan Tape (BoE)'!B91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IFERROR(IFS('Loan Tape (BoE)'!N91=1,"Repayment",'Loan Tape (BoE)'!N91=2,"Interest Only",'Loan Tape (BoE)'!N91=3,"Part &amp; Part"),"")</f>
        <v/>
      </c>
      <c r="O90" s="17">
        <f>IF('Loan Tape (BoE)'!O91=1,"Yes","No")</f>
        <v/>
      </c>
      <c r="P90" s="17">
        <f>IF('Loan Tape (BoE)'!P91=1,"Yes","No")</f>
        <v/>
      </c>
      <c r="Q90" s="17">
        <f>IF('Loan Tape (BoE)'!Q91=1,"Yes","No")</f>
        <v/>
      </c>
      <c r="R90" s="18">
        <f>'Loan Tape (BoE)'!R91</f>
        <v/>
      </c>
      <c r="S90" s="18">
        <f>'Loan Tape (BoE)'!S91</f>
        <v/>
      </c>
      <c r="T90" s="17">
        <f>'Loan Tape (BoE)'!T91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 t="n"/>
      <c r="AQ90" s="17" t="n"/>
      <c r="AR90" s="17" t="n"/>
      <c r="AS90" s="17" t="n"/>
      <c r="AT90" s="17" t="n"/>
      <c r="AU90" s="17" t="n"/>
      <c r="AV90" s="17" t="n"/>
      <c r="AW90" s="17" t="n"/>
    </row>
    <row r="91">
      <c r="A91" s="17">
        <f>'Loan Tape (BoE)'!A92</f>
        <v/>
      </c>
      <c r="B91" s="18">
        <f>'Loan Tape (BoE)'!B92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IFERROR(IFS('Loan Tape (BoE)'!N92=1,"Repayment",'Loan Tape (BoE)'!N92=2,"Interest Only",'Loan Tape (BoE)'!N92=3,"Part &amp; Part"),"")</f>
        <v/>
      </c>
      <c r="O91" s="17">
        <f>IF('Loan Tape (BoE)'!O92=1,"Yes","No")</f>
        <v/>
      </c>
      <c r="P91" s="17">
        <f>IF('Loan Tape (BoE)'!P92=1,"Yes","No")</f>
        <v/>
      </c>
      <c r="Q91" s="17">
        <f>IF('Loan Tape (BoE)'!Q92=1,"Yes","No")</f>
        <v/>
      </c>
      <c r="R91" s="18">
        <f>'Loan Tape (BoE)'!R92</f>
        <v/>
      </c>
      <c r="S91" s="18">
        <f>'Loan Tape (BoE)'!S92</f>
        <v/>
      </c>
      <c r="T91" s="17">
        <f>'Loan Tape (BoE)'!T92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 t="n"/>
      <c r="AQ91" s="17" t="n"/>
      <c r="AR91" s="17" t="n"/>
      <c r="AS91" s="17" t="n"/>
      <c r="AT91" s="17" t="n"/>
      <c r="AU91" s="17" t="n"/>
      <c r="AV91" s="17" t="n"/>
      <c r="AW91" s="17" t="n"/>
    </row>
    <row r="92">
      <c r="A92" s="17">
        <f>'Loan Tape (BoE)'!A93</f>
        <v/>
      </c>
      <c r="B92" s="18">
        <f>'Loan Tape (BoE)'!B93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IFERROR(IFS('Loan Tape (BoE)'!N93=1,"Repayment",'Loan Tape (BoE)'!N93=2,"Interest Only",'Loan Tape (BoE)'!N93=3,"Part &amp; Part"),"")</f>
        <v/>
      </c>
      <c r="O92" s="17">
        <f>IF('Loan Tape (BoE)'!O93=1,"Yes","No")</f>
        <v/>
      </c>
      <c r="P92" s="17">
        <f>IF('Loan Tape (BoE)'!P93=1,"Yes","No")</f>
        <v/>
      </c>
      <c r="Q92" s="17">
        <f>IF('Loan Tape (BoE)'!Q93=1,"Yes","No")</f>
        <v/>
      </c>
      <c r="R92" s="18">
        <f>'Loan Tape (BoE)'!R93</f>
        <v/>
      </c>
      <c r="S92" s="18">
        <f>'Loan Tape (BoE)'!S93</f>
        <v/>
      </c>
      <c r="T92" s="17">
        <f>'Loan Tape (BoE)'!T93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 t="n"/>
      <c r="AQ92" s="17" t="n"/>
      <c r="AR92" s="17" t="n"/>
      <c r="AS92" s="17" t="n"/>
      <c r="AT92" s="17" t="n"/>
      <c r="AU92" s="17" t="n"/>
      <c r="AV92" s="17" t="n"/>
      <c r="AW92" s="17" t="n"/>
    </row>
    <row r="93">
      <c r="A93" s="17">
        <f>'Loan Tape (BoE)'!A94</f>
        <v/>
      </c>
      <c r="B93" s="18">
        <f>'Loan Tape (BoE)'!B94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IFERROR(IFS('Loan Tape (BoE)'!N94=1,"Repayment",'Loan Tape (BoE)'!N94=2,"Interest Only",'Loan Tape (BoE)'!N94=3,"Part &amp; Part"),"")</f>
        <v/>
      </c>
      <c r="O93" s="17">
        <f>IF('Loan Tape (BoE)'!O94=1,"Yes","No")</f>
        <v/>
      </c>
      <c r="P93" s="17">
        <f>IF('Loan Tape (BoE)'!P94=1,"Yes","No")</f>
        <v/>
      </c>
      <c r="Q93" s="17">
        <f>IF('Loan Tape (BoE)'!Q94=1,"Yes","No")</f>
        <v/>
      </c>
      <c r="R93" s="18">
        <f>'Loan Tape (BoE)'!R94</f>
        <v/>
      </c>
      <c r="S93" s="18">
        <f>'Loan Tape (BoE)'!S94</f>
        <v/>
      </c>
      <c r="T93" s="17">
        <f>'Loan Tape (BoE)'!T94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 t="n"/>
      <c r="AQ93" s="17" t="n"/>
      <c r="AR93" s="17" t="n"/>
      <c r="AS93" s="17" t="n"/>
      <c r="AT93" s="17" t="n"/>
      <c r="AU93" s="17" t="n"/>
      <c r="AV93" s="17" t="n"/>
      <c r="AW93" s="17" t="n"/>
    </row>
    <row r="94">
      <c r="A94" s="17">
        <f>'Loan Tape (BoE)'!A95</f>
        <v/>
      </c>
      <c r="B94" s="18">
        <f>'Loan Tape (BoE)'!B95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IFERROR(IFS('Loan Tape (BoE)'!N95=1,"Repayment",'Loan Tape (BoE)'!N95=2,"Interest Only",'Loan Tape (BoE)'!N95=3,"Part &amp; Part"),"")</f>
        <v/>
      </c>
      <c r="O94" s="17">
        <f>IF('Loan Tape (BoE)'!O95=1,"Yes","No")</f>
        <v/>
      </c>
      <c r="P94" s="17">
        <f>IF('Loan Tape (BoE)'!P95=1,"Yes","No")</f>
        <v/>
      </c>
      <c r="Q94" s="17">
        <f>IF('Loan Tape (BoE)'!Q95=1,"Yes","No")</f>
        <v/>
      </c>
      <c r="R94" s="18">
        <f>'Loan Tape (BoE)'!R95</f>
        <v/>
      </c>
      <c r="S94" s="18">
        <f>'Loan Tape (BoE)'!S95</f>
        <v/>
      </c>
      <c r="T94" s="17">
        <f>'Loan Tape (BoE)'!T95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 t="n"/>
      <c r="AQ94" s="17" t="n"/>
      <c r="AR94" s="17" t="n"/>
      <c r="AS94" s="17" t="n"/>
      <c r="AT94" s="17" t="n"/>
      <c r="AU94" s="17" t="n"/>
      <c r="AV94" s="17" t="n"/>
      <c r="AW94" s="17" t="n"/>
    </row>
    <row r="95">
      <c r="A95" s="17">
        <f>'Loan Tape (BoE)'!A96</f>
        <v/>
      </c>
      <c r="B95" s="18">
        <f>'Loan Tape (BoE)'!B96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IFERROR(IFS('Loan Tape (BoE)'!N96=1,"Repayment",'Loan Tape (BoE)'!N96=2,"Interest Only",'Loan Tape (BoE)'!N96=3,"Part &amp; Part"),"")</f>
        <v/>
      </c>
      <c r="O95" s="17">
        <f>IF('Loan Tape (BoE)'!O96=1,"Yes","No")</f>
        <v/>
      </c>
      <c r="P95" s="17">
        <f>IF('Loan Tape (BoE)'!P96=1,"Yes","No")</f>
        <v/>
      </c>
      <c r="Q95" s="17">
        <f>IF('Loan Tape (BoE)'!Q96=1,"Yes","No")</f>
        <v/>
      </c>
      <c r="R95" s="18">
        <f>'Loan Tape (BoE)'!R96</f>
        <v/>
      </c>
      <c r="S95" s="18">
        <f>'Loan Tape (BoE)'!S96</f>
        <v/>
      </c>
      <c r="T95" s="17">
        <f>'Loan Tape (BoE)'!T96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 t="n"/>
      <c r="AQ95" s="17" t="n"/>
      <c r="AR95" s="17" t="n"/>
      <c r="AS95" s="17" t="n"/>
      <c r="AT95" s="17" t="n"/>
      <c r="AU95" s="17" t="n"/>
      <c r="AV95" s="17" t="n"/>
      <c r="AW95" s="17" t="n"/>
    </row>
    <row r="96">
      <c r="A96" s="17">
        <f>'Loan Tape (BoE)'!A97</f>
        <v/>
      </c>
      <c r="B96" s="18">
        <f>'Loan Tape (BoE)'!B97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IFERROR(IFS('Loan Tape (BoE)'!N97=1,"Repayment",'Loan Tape (BoE)'!N97=2,"Interest Only",'Loan Tape (BoE)'!N97=3,"Part &amp; Part"),"")</f>
        <v/>
      </c>
      <c r="O96" s="17">
        <f>IF('Loan Tape (BoE)'!O97=1,"Yes","No")</f>
        <v/>
      </c>
      <c r="P96" s="17">
        <f>IF('Loan Tape (BoE)'!P97=1,"Yes","No")</f>
        <v/>
      </c>
      <c r="Q96" s="17">
        <f>IF('Loan Tape (BoE)'!Q97=1,"Yes","No")</f>
        <v/>
      </c>
      <c r="R96" s="18">
        <f>'Loan Tape (BoE)'!R97</f>
        <v/>
      </c>
      <c r="S96" s="18">
        <f>'Loan Tape (BoE)'!S97</f>
        <v/>
      </c>
      <c r="T96" s="17">
        <f>'Loan Tape (BoE)'!T97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 t="n"/>
      <c r="AQ96" s="17" t="n"/>
      <c r="AR96" s="17" t="n"/>
      <c r="AS96" s="17" t="n"/>
      <c r="AT96" s="17" t="n"/>
      <c r="AU96" s="17" t="n"/>
      <c r="AV96" s="17" t="n"/>
      <c r="AW96" s="17" t="n"/>
    </row>
    <row r="97">
      <c r="A97" s="17">
        <f>'Loan Tape (BoE)'!A98</f>
        <v/>
      </c>
      <c r="B97" s="18">
        <f>'Loan Tape (BoE)'!B98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IFERROR(IFS('Loan Tape (BoE)'!N98=1,"Repayment",'Loan Tape (BoE)'!N98=2,"Interest Only",'Loan Tape (BoE)'!N98=3,"Part &amp; Part"),"")</f>
        <v/>
      </c>
      <c r="O97" s="17">
        <f>IF('Loan Tape (BoE)'!O98=1,"Yes","No")</f>
        <v/>
      </c>
      <c r="P97" s="17">
        <f>IF('Loan Tape (BoE)'!P98=1,"Yes","No")</f>
        <v/>
      </c>
      <c r="Q97" s="17">
        <f>IF('Loan Tape (BoE)'!Q98=1,"Yes","No")</f>
        <v/>
      </c>
      <c r="R97" s="18">
        <f>'Loan Tape (BoE)'!R98</f>
        <v/>
      </c>
      <c r="S97" s="18">
        <f>'Loan Tape (BoE)'!S98</f>
        <v/>
      </c>
      <c r="T97" s="17">
        <f>'Loan Tape (BoE)'!T98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 t="n"/>
      <c r="AQ97" s="17" t="n"/>
      <c r="AR97" s="17" t="n"/>
      <c r="AS97" s="17" t="n"/>
      <c r="AT97" s="17" t="n"/>
      <c r="AU97" s="17" t="n"/>
      <c r="AV97" s="17" t="n"/>
      <c r="AW97" s="17" t="n"/>
    </row>
    <row r="98">
      <c r="A98" s="17">
        <f>'Loan Tape (BoE)'!A99</f>
        <v/>
      </c>
      <c r="B98" s="18">
        <f>'Loan Tape (BoE)'!B99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IFERROR(IFS('Loan Tape (BoE)'!N99=1,"Repayment",'Loan Tape (BoE)'!N99=2,"Interest Only",'Loan Tape (BoE)'!N99=3,"Part &amp; Part"),"")</f>
        <v/>
      </c>
      <c r="O98" s="17">
        <f>IF('Loan Tape (BoE)'!O99=1,"Yes","No")</f>
        <v/>
      </c>
      <c r="P98" s="17">
        <f>IF('Loan Tape (BoE)'!P99=1,"Yes","No")</f>
        <v/>
      </c>
      <c r="Q98" s="17">
        <f>IF('Loan Tape (BoE)'!Q99=1,"Yes","No")</f>
        <v/>
      </c>
      <c r="R98" s="18">
        <f>'Loan Tape (BoE)'!R99</f>
        <v/>
      </c>
      <c r="S98" s="18">
        <f>'Loan Tape (BoE)'!S99</f>
        <v/>
      </c>
      <c r="T98" s="17">
        <f>'Loan Tape (BoE)'!T99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 t="n"/>
      <c r="AQ98" s="17" t="n"/>
      <c r="AR98" s="17" t="n"/>
      <c r="AS98" s="17" t="n"/>
      <c r="AT98" s="17" t="n"/>
      <c r="AU98" s="17" t="n"/>
      <c r="AV98" s="17" t="n"/>
      <c r="AW98" s="17" t="n"/>
    </row>
    <row r="99">
      <c r="A99" s="17">
        <f>'Loan Tape (BoE)'!A100</f>
        <v/>
      </c>
      <c r="B99" s="18">
        <f>'Loan Tape (BoE)'!B100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IFERROR(IFS('Loan Tape (BoE)'!N100=1,"Repayment",'Loan Tape (BoE)'!N100=2,"Interest Only",'Loan Tape (BoE)'!N100=3,"Part &amp; Part"),"")</f>
        <v/>
      </c>
      <c r="O99" s="17">
        <f>IF('Loan Tape (BoE)'!O100=1,"Yes","No")</f>
        <v/>
      </c>
      <c r="P99" s="17">
        <f>IF('Loan Tape (BoE)'!P100=1,"Yes","No")</f>
        <v/>
      </c>
      <c r="Q99" s="17">
        <f>IF('Loan Tape (BoE)'!Q100=1,"Yes","No")</f>
        <v/>
      </c>
      <c r="R99" s="18">
        <f>'Loan Tape (BoE)'!R100</f>
        <v/>
      </c>
      <c r="S99" s="18">
        <f>'Loan Tape (BoE)'!S100</f>
        <v/>
      </c>
      <c r="T99" s="17">
        <f>'Loan Tape (BoE)'!T100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 t="n"/>
      <c r="AQ99" s="17" t="n"/>
      <c r="AR99" s="17" t="n"/>
      <c r="AS99" s="17" t="n"/>
      <c r="AT99" s="17" t="n"/>
      <c r="AU99" s="17" t="n"/>
      <c r="AV99" s="17" t="n"/>
      <c r="AW99" s="17" t="n"/>
    </row>
    <row r="100">
      <c r="A100" s="17">
        <f>'Loan Tape (BoE)'!A101</f>
        <v/>
      </c>
      <c r="B100" s="18">
        <f>'Loan Tape (BoE)'!B101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IFERROR(IFS('Loan Tape (BoE)'!N101=1,"Repayment",'Loan Tape (BoE)'!N101=2,"Interest Only",'Loan Tape (BoE)'!N101=3,"Part &amp; Part"),"")</f>
        <v/>
      </c>
      <c r="O100" s="17">
        <f>IF('Loan Tape (BoE)'!O101=1,"Yes","No")</f>
        <v/>
      </c>
      <c r="P100" s="17">
        <f>IF('Loan Tape (BoE)'!P101=1,"Yes","No")</f>
        <v/>
      </c>
      <c r="Q100" s="17">
        <f>IF('Loan Tape (BoE)'!Q101=1,"Yes","No")</f>
        <v/>
      </c>
      <c r="R100" s="18">
        <f>'Loan Tape (BoE)'!R101</f>
        <v/>
      </c>
      <c r="S100" s="18">
        <f>'Loan Tape (BoE)'!S101</f>
        <v/>
      </c>
      <c r="T100" s="17">
        <f>'Loan Tape (BoE)'!T101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 t="n"/>
      <c r="AQ100" s="17" t="n"/>
      <c r="AR100" s="17" t="n"/>
      <c r="AS100" s="17" t="n"/>
      <c r="AT100" s="17" t="n"/>
      <c r="AU100" s="17" t="n"/>
      <c r="AV100" s="17" t="n"/>
      <c r="AW100" s="17" t="n"/>
    </row>
    <row r="101">
      <c r="A101" s="17">
        <f>'Loan Tape (BoE)'!A102</f>
        <v/>
      </c>
      <c r="B101" s="18">
        <f>'Loan Tape (BoE)'!B102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IFERROR(IFS('Loan Tape (BoE)'!N102=1,"Repayment",'Loan Tape (BoE)'!N102=2,"Interest Only",'Loan Tape (BoE)'!N102=3,"Part &amp; Part"),"")</f>
        <v/>
      </c>
      <c r="O101" s="17">
        <f>IF('Loan Tape (BoE)'!O102=1,"Yes","No")</f>
        <v/>
      </c>
      <c r="P101" s="17">
        <f>IF('Loan Tape (BoE)'!P102=1,"Yes","No")</f>
        <v/>
      </c>
      <c r="Q101" s="17">
        <f>IF('Loan Tape (BoE)'!Q102=1,"Yes","No")</f>
        <v/>
      </c>
      <c r="R101" s="18">
        <f>'Loan Tape (BoE)'!R102</f>
        <v/>
      </c>
      <c r="S101" s="18">
        <f>'Loan Tape (BoE)'!S102</f>
        <v/>
      </c>
      <c r="T101" s="17">
        <f>'Loan Tape (BoE)'!T102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 t="n"/>
      <c r="AQ101" s="17" t="n"/>
      <c r="AR101" s="17" t="n"/>
      <c r="AS101" s="17" t="n"/>
      <c r="AT101" s="17" t="n"/>
      <c r="AU101" s="17" t="n"/>
      <c r="AV101" s="17" t="n"/>
      <c r="AW101" s="17" t="n"/>
    </row>
    <row r="102">
      <c r="A102" s="17">
        <f>'Loan Tape (BoE)'!A103</f>
        <v/>
      </c>
      <c r="B102" s="18">
        <f>'Loan Tape (BoE)'!B103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IFERROR(IFS('Loan Tape (BoE)'!N103=1,"Repayment",'Loan Tape (BoE)'!N103=2,"Interest Only",'Loan Tape (BoE)'!N103=3,"Part &amp; Part"),"")</f>
        <v/>
      </c>
      <c r="O102" s="17">
        <f>IF('Loan Tape (BoE)'!O103=1,"Yes","No")</f>
        <v/>
      </c>
      <c r="P102" s="17">
        <f>IF('Loan Tape (BoE)'!P103=1,"Yes","No")</f>
        <v/>
      </c>
      <c r="Q102" s="17">
        <f>IF('Loan Tape (BoE)'!Q103=1,"Yes","No")</f>
        <v/>
      </c>
      <c r="R102" s="18">
        <f>'Loan Tape (BoE)'!R103</f>
        <v/>
      </c>
      <c r="S102" s="18">
        <f>'Loan Tape (BoE)'!S103</f>
        <v/>
      </c>
      <c r="T102" s="17">
        <f>'Loan Tape (BoE)'!T103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 t="n"/>
      <c r="AQ102" s="17" t="n"/>
      <c r="AR102" s="17" t="n"/>
      <c r="AS102" s="17" t="n"/>
      <c r="AT102" s="17" t="n"/>
      <c r="AU102" s="17" t="n"/>
      <c r="AV102" s="17" t="n"/>
      <c r="AW102" s="17" t="n"/>
    </row>
    <row r="103">
      <c r="A103" s="17">
        <f>'Loan Tape (BoE)'!A104</f>
        <v/>
      </c>
      <c r="B103" s="18">
        <f>'Loan Tape (BoE)'!B104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IFERROR(IFS('Loan Tape (BoE)'!N104=1,"Repayment",'Loan Tape (BoE)'!N104=2,"Interest Only",'Loan Tape (BoE)'!N104=3,"Part &amp; Part"),"")</f>
        <v/>
      </c>
      <c r="O103" s="17">
        <f>IF('Loan Tape (BoE)'!O104=1,"Yes","No")</f>
        <v/>
      </c>
      <c r="P103" s="17">
        <f>IF('Loan Tape (BoE)'!P104=1,"Yes","No")</f>
        <v/>
      </c>
      <c r="Q103" s="17">
        <f>IF('Loan Tape (BoE)'!Q104=1,"Yes","No")</f>
        <v/>
      </c>
      <c r="R103" s="18">
        <f>'Loan Tape (BoE)'!R104</f>
        <v/>
      </c>
      <c r="S103" s="18">
        <f>'Loan Tape (BoE)'!S104</f>
        <v/>
      </c>
      <c r="T103" s="17">
        <f>'Loan Tape (BoE)'!T104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 t="n"/>
      <c r="AQ103" s="17" t="n"/>
      <c r="AR103" s="17" t="n"/>
      <c r="AS103" s="17" t="n"/>
      <c r="AT103" s="17" t="n"/>
      <c r="AU103" s="17" t="n"/>
      <c r="AV103" s="17" t="n"/>
      <c r="AW103" s="17" t="n"/>
    </row>
    <row r="104">
      <c r="A104" s="17">
        <f>'Loan Tape (BoE)'!A105</f>
        <v/>
      </c>
      <c r="B104" s="18">
        <f>'Loan Tape (BoE)'!B105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IFERROR(IFS('Loan Tape (BoE)'!N105=1,"Repayment",'Loan Tape (BoE)'!N105=2,"Interest Only",'Loan Tape (BoE)'!N105=3,"Part &amp; Part"),"")</f>
        <v/>
      </c>
      <c r="O104" s="17">
        <f>IF('Loan Tape (BoE)'!O105=1,"Yes","No")</f>
        <v/>
      </c>
      <c r="P104" s="17">
        <f>IF('Loan Tape (BoE)'!P105=1,"Yes","No")</f>
        <v/>
      </c>
      <c r="Q104" s="17">
        <f>IF('Loan Tape (BoE)'!Q105=1,"Yes","No")</f>
        <v/>
      </c>
      <c r="R104" s="18">
        <f>'Loan Tape (BoE)'!R105</f>
        <v/>
      </c>
      <c r="S104" s="18">
        <f>'Loan Tape (BoE)'!S105</f>
        <v/>
      </c>
      <c r="T104" s="17">
        <f>'Loan Tape (BoE)'!T105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 t="n"/>
      <c r="AQ104" s="17" t="n"/>
      <c r="AR104" s="17" t="n"/>
      <c r="AS104" s="17" t="n"/>
      <c r="AT104" s="17" t="n"/>
      <c r="AU104" s="17" t="n"/>
      <c r="AV104" s="17" t="n"/>
      <c r="AW104" s="17" t="n"/>
    </row>
  </sheetData>
  <mergeCells count="2">
    <mergeCell ref="A2:AO2"/>
    <mergeCell ref="A1:A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IFERROR(
        LET(
            is_btl,'Loan Tape (S&amp;P)'!L5="BTL",
            seasoning_months,('Control Panel'!$B$10-'Loan Tape (S&amp;P)'!F5)*12,
            threshold_months,VLOOKUP('Control Panel'!$B$6,'Jurisdiction Parameters'!$A:$F,6,FALSE),
            num_borr,'Loan Tape (S&amp;P)'!T5,
            balance,'Loan Tape (S&amp;P)'!B5,
            borr1_inc,'Loan Tape (S&amp;P)'!R5,
            borr2_inc,'Loan Tape (S&amp;P)'!S5,
            total_inc,'Loan Tape (S&amp;P)'!U5,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" s="21">
        <f>IFERROR(
        IF('Loan Tape (S&amp;P)'!L5="BTL",
            LET(
                rental,'Loan Tape (S&amp;P)'!AV5,
                balance,'Loan Tape (S&amp;P)'!B5,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" s="21">
        <f>IFERROR(
        IF('Loan Tape (S&amp;P)'!AS5="First",
            INDEX('FF Adj Parameters'!$B$20:$B$22,1),
            IF('Loan Tape (S&amp;P)'!AS5="Second",
                INDEX('FF Adj Parameters'!$B$20:$B$22,2),
                INDEX('FF Adj Parameters'!$B$20:$B$22,3)
            )
        ),
    1)</f>
        <v/>
      </c>
      <c r="K5" s="21">
        <f>IFERROR(
        IF('Loan Tape (S&amp;P)'!AS5&lt;&gt;"First",1.00,
            IF('Loan Tape (S&amp;P)'!M5="Cash-out",
                INDEX('FF Adj Parameters'!$B$26:$B$28,3),
            1.00)
        ),
    1)</f>
        <v/>
      </c>
      <c r="L5" s="21">
        <f>IFERROR(
        LET(
            arr_months,'Loan Tape (S&amp;P)'!AK5,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" s="21">
        <f>IFERROR(
        IF('Loan Tape (S&amp;P)'!AK5=0,
            LET(
                years,('Control Panel'!$B$10-'Loan Tape (S&amp;P)'!F5)/365.25,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" s="21">
        <f>IFERROR(
        LET(
            is_btl,'Loan Tape (S&amp;P)'!L5="BTL",
            is_htb,'Loan Tape (S&amp;P)'!Q5="Yes",
            is_ftb,'Loan Tape (S&amp;P)'!AP5="Yes",
            seasoning_months,('Control Panel'!$B$10-'Loan Tape (S&amp;P)'!F5)*12,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" s="21">
        <f>IF('Loan Tape (S&amp;P)'!Q5="Yes",
        INDEX('FF Adj Parameters'!$B$42:$B$47,2),
    1.00)</f>
        <v/>
      </c>
      <c r="P5" s="21">
        <f>IF('Loan Tape (S&amp;P)'!P5="Yes",
        INDEX('FF Adj Parameters'!$B$42:$B$47,3),
    1.00)</f>
        <v/>
      </c>
      <c r="Q5" s="21">
        <f>IF('Loan Tape (S&amp;P)'!O5="Yes",
        INDEX('FF Adj Parameters'!$B$42:$B$47,4),
    1.00)</f>
        <v/>
      </c>
      <c r="R5" s="21">
        <f>IFERROR(
        LET(
            is_btl,'Loan Tape (S&amp;P)'!L5="BTL",
            is_self_cert,'Loan Tape (S&amp;P)'!AO5="Yes",
            is_performing,'Loan Tape (S&amp;P)'!AK5=0,
            IF(OR(is_btl,NOT(is_self_cert)),1.00,
                IF(is_performing,
                    LET(
                        months,('Control Panel'!$B$10-'Loan Tape (S&amp;P)'!F5)*12,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" s="21">
        <f>IF('Loan Tape (S&amp;P)'!Q5="Yes",1.00,
        IF('Loan Tape (S&amp;P)'!AQ5="Yes",
            INDEX('FF Adj Parameters'!$B$42:$B$47,5),
        1.00))</f>
        <v/>
      </c>
      <c r="T5" s="21">
        <f>IFERROR(
        IF('Loan Tape (S&amp;P)'!N5&lt;&gt;"Interest Only",1.00,
            IF('Loan Tape (S&amp;P)'!L5="BTL",1.00,
                LET(
                    years_to_mat,('Loan Tape (S&amp;P)'!G5-'Control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" s="21">
        <f>IF('Loan Tape (S&amp;P)'!L5="BTL",1.00,
        IF('Loan Tape (S&amp;P)'!X5="Yes",
            INDEX('FF Adj Parameters'!$B$58:$B$58,1),
        1.00))</f>
        <v/>
      </c>
      <c r="V5" s="21">
        <f>IF('Loan Tape (S&amp;P)'!AU5="Yes",
        INDEX('FF Adj Parameters'!$B$42:$B$47,6),
    1.00)</f>
        <v/>
      </c>
      <c r="W5" s="23">
        <f>IFERROR(
        LET(
            ccj_count,'Loan Tape (S&amp;P)'!AD5,
            ccj_value,'Loan Tape (S&amp;P)'!AG5,
            ccj_date,'Loan Tape (S&amp;P)'!AH5,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" s="21">
        <f>1.00</f>
        <v/>
      </c>
      <c r="Y5" s="21">
        <f>IFERROR(
        IF('Loan Tape (S&amp;P)'!AR5="Yes",
            LET(
                months_since,('Control Panel'!$B$10-'Loan Tape (S&amp;P)'!AS5)/30.44,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IFERROR(
        LET(
            is_btl,'Loan Tape (S&amp;P)'!L6="BTL",
            seasoning_months,('Control Panel'!$B$10-'Loan Tape (S&amp;P)'!F6)*12,
            threshold_months,VLOOKUP('Control Panel'!$B$6,'Jurisdiction Parameters'!$A:$F,6,FALSE),
            num_borr,'Loan Tape (S&amp;P)'!T6,
            balance,'Loan Tape (S&amp;P)'!B6,
            borr1_inc,'Loan Tape (S&amp;P)'!R6,
            borr2_inc,'Loan Tape (S&amp;P)'!S6,
            total_inc,'Loan Tape (S&amp;P)'!U6,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" s="21">
        <f>IFERROR(
        IF('Loan Tape (S&amp;P)'!L6="BTL",
            LET(
                rental,'Loan Tape (S&amp;P)'!AV6,
                balance,'Loan Tape (S&amp;P)'!B6,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" s="21">
        <f>IFERROR(
        IF('Loan Tape (S&amp;P)'!AS6="First",
            INDEX('FF Adj Parameters'!$B$20:$B$22,1),
            IF('Loan Tape (S&amp;P)'!AS6="Second",
                INDEX('FF Adj Parameters'!$B$20:$B$22,2),
                INDEX('FF Adj Parameters'!$B$20:$B$22,3)
            )
        ),
    1)</f>
        <v/>
      </c>
      <c r="K6" s="21">
        <f>IFERROR(
        IF('Loan Tape (S&amp;P)'!AS6&lt;&gt;"First",1.00,
            IF('Loan Tape (S&amp;P)'!M6="Cash-out",
                INDEX('FF Adj Parameters'!$B$26:$B$28,3),
            1.00)
        ),
    1)</f>
        <v/>
      </c>
      <c r="L6" s="21">
        <f>IFERROR(
        LET(
            arr_months,'Loan Tape (S&amp;P)'!AK6,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" s="21">
        <f>IFERROR(
        IF('Loan Tape (S&amp;P)'!AK6=0,
            LET(
                years,('Control Panel'!$B$10-'Loan Tape (S&amp;P)'!F6)/365.25,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" s="21">
        <f>IFERROR(
        LET(
            is_btl,'Loan Tape (S&amp;P)'!L6="BTL",
            is_htb,'Loan Tape (S&amp;P)'!Q6="Yes",
            is_ftb,'Loan Tape (S&amp;P)'!AP6="Yes",
            seasoning_months,('Control Panel'!$B$10-'Loan Tape (S&amp;P)'!F6)*12,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" s="21">
        <f>IF('Loan Tape (S&amp;P)'!Q6="Yes",
        INDEX('FF Adj Parameters'!$B$42:$B$47,2),
    1.00)</f>
        <v/>
      </c>
      <c r="P6" s="21">
        <f>IF('Loan Tape (S&amp;P)'!P6="Yes",
        INDEX('FF Adj Parameters'!$B$42:$B$47,3),
    1.00)</f>
        <v/>
      </c>
      <c r="Q6" s="21">
        <f>IF('Loan Tape (S&amp;P)'!O6="Yes",
        INDEX('FF Adj Parameters'!$B$42:$B$47,4),
    1.00)</f>
        <v/>
      </c>
      <c r="R6" s="21">
        <f>IFERROR(
        LET(
            is_btl,'Loan Tape (S&amp;P)'!L6="BTL",
            is_self_cert,'Loan Tape (S&amp;P)'!AO6="Yes",
            is_performing,'Loan Tape (S&amp;P)'!AK6=0,
            IF(OR(is_btl,NOT(is_self_cert)),1.00,
                IF(is_performing,
                    LET(
                        months,('Control Panel'!$B$10-'Loan Tape (S&amp;P)'!F6)*12,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" s="21">
        <f>IF('Loan Tape (S&amp;P)'!Q6="Yes",1.00,
        IF('Loan Tape (S&amp;P)'!AQ6="Yes",
            INDEX('FF Adj Parameters'!$B$42:$B$47,5),
        1.00))</f>
        <v/>
      </c>
      <c r="T6" s="21">
        <f>IFERROR(
        IF('Loan Tape (S&amp;P)'!N6&lt;&gt;"Interest Only",1.00,
            IF('Loan Tape (S&amp;P)'!L6="BTL",1.00,
                LET(
                    years_to_mat,('Loan Tape (S&amp;P)'!G6-'Control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" s="21">
        <f>IF('Loan Tape (S&amp;P)'!L6="BTL",1.00,
        IF('Loan Tape (S&amp;P)'!X6="Yes",
            INDEX('FF Adj Parameters'!$B$58:$B$58,1),
        1.00))</f>
        <v/>
      </c>
      <c r="V6" s="21">
        <f>IF('Loan Tape (S&amp;P)'!AU6="Yes",
        INDEX('FF Adj Parameters'!$B$42:$B$47,6),
    1.00)</f>
        <v/>
      </c>
      <c r="W6" s="23">
        <f>IFERROR(
        LET(
            ccj_count,'Loan Tape (S&amp;P)'!AD6,
            ccj_value,'Loan Tape (S&amp;P)'!AG6,
            ccj_date,'Loan Tape (S&amp;P)'!AH6,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" s="21">
        <f>1.00</f>
        <v/>
      </c>
      <c r="Y6" s="21">
        <f>IFERROR(
        IF('Loan Tape (S&amp;P)'!AR6="Yes",
            LET(
                months_since,('Control Panel'!$B$10-'Loan Tape (S&amp;P)'!AS6)/30.44,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IFERROR(
        LET(
            is_btl,'Loan Tape (S&amp;P)'!L7="BTL",
            seasoning_months,('Control Panel'!$B$10-'Loan Tape (S&amp;P)'!F7)*12,
            threshold_months,VLOOKUP('Control Panel'!$B$6,'Jurisdiction Parameters'!$A:$F,6,FALSE),
            num_borr,'Loan Tape (S&amp;P)'!T7,
            balance,'Loan Tape (S&amp;P)'!B7,
            borr1_inc,'Loan Tape (S&amp;P)'!R7,
            borr2_inc,'Loan Tape (S&amp;P)'!S7,
            total_inc,'Loan Tape (S&amp;P)'!U7,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" s="21">
        <f>IFERROR(
        IF('Loan Tape (S&amp;P)'!L7="BTL",
            LET(
                rental,'Loan Tape (S&amp;P)'!AV7,
                balance,'Loan Tape (S&amp;P)'!B7,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" s="21">
        <f>IFERROR(
        IF('Loan Tape (S&amp;P)'!AS7="First",
            INDEX('FF Adj Parameters'!$B$20:$B$22,1),
            IF('Loan Tape (S&amp;P)'!AS7="Second",
                INDEX('FF Adj Parameters'!$B$20:$B$22,2),
                INDEX('FF Adj Parameters'!$B$20:$B$22,3)
            )
        ),
    1)</f>
        <v/>
      </c>
      <c r="K7" s="21">
        <f>IFERROR(
        IF('Loan Tape (S&amp;P)'!AS7&lt;&gt;"First",1.00,
            IF('Loan Tape (S&amp;P)'!M7="Cash-out",
                INDEX('FF Adj Parameters'!$B$26:$B$28,3),
            1.00)
        ),
    1)</f>
        <v/>
      </c>
      <c r="L7" s="21">
        <f>IFERROR(
        LET(
            arr_months,'Loan Tape (S&amp;P)'!AK7,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" s="21">
        <f>IFERROR(
        IF('Loan Tape (S&amp;P)'!AK7=0,
            LET(
                years,('Control Panel'!$B$10-'Loan Tape (S&amp;P)'!F7)/365.25,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" s="21">
        <f>IFERROR(
        LET(
            is_btl,'Loan Tape (S&amp;P)'!L7="BTL",
            is_htb,'Loan Tape (S&amp;P)'!Q7="Yes",
            is_ftb,'Loan Tape (S&amp;P)'!AP7="Yes",
            seasoning_months,('Control Panel'!$B$10-'Loan Tape (S&amp;P)'!F7)*12,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" s="21">
        <f>IF('Loan Tape (S&amp;P)'!Q7="Yes",
        INDEX('FF Adj Parameters'!$B$42:$B$47,2),
    1.00)</f>
        <v/>
      </c>
      <c r="P7" s="21">
        <f>IF('Loan Tape (S&amp;P)'!P7="Yes",
        INDEX('FF Adj Parameters'!$B$42:$B$47,3),
    1.00)</f>
        <v/>
      </c>
      <c r="Q7" s="21">
        <f>IF('Loan Tape (S&amp;P)'!O7="Yes",
        INDEX('FF Adj Parameters'!$B$42:$B$47,4),
    1.00)</f>
        <v/>
      </c>
      <c r="R7" s="21">
        <f>IFERROR(
        LET(
            is_btl,'Loan Tape (S&amp;P)'!L7="BTL",
            is_self_cert,'Loan Tape (S&amp;P)'!AO7="Yes",
            is_performing,'Loan Tape (S&amp;P)'!AK7=0,
            IF(OR(is_btl,NOT(is_self_cert)),1.00,
                IF(is_performing,
                    LET(
                        months,('Control Panel'!$B$10-'Loan Tape (S&amp;P)'!F7)*12,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" s="21">
        <f>IF('Loan Tape (S&amp;P)'!Q7="Yes",1.00,
        IF('Loan Tape (S&amp;P)'!AQ7="Yes",
            INDEX('FF Adj Parameters'!$B$42:$B$47,5),
        1.00))</f>
        <v/>
      </c>
      <c r="T7" s="21">
        <f>IFERROR(
        IF('Loan Tape (S&amp;P)'!N7&lt;&gt;"Interest Only",1.00,
            IF('Loan Tape (S&amp;P)'!L7="BTL",1.00,
                LET(
                    years_to_mat,('Loan Tape (S&amp;P)'!G7-'Control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" s="21">
        <f>IF('Loan Tape (S&amp;P)'!L7="BTL",1.00,
        IF('Loan Tape (S&amp;P)'!X7="Yes",
            INDEX('FF Adj Parameters'!$B$58:$B$58,1),
        1.00))</f>
        <v/>
      </c>
      <c r="V7" s="21">
        <f>IF('Loan Tape (S&amp;P)'!AU7="Yes",
        INDEX('FF Adj Parameters'!$B$42:$B$47,6),
    1.00)</f>
        <v/>
      </c>
      <c r="W7" s="23">
        <f>IFERROR(
        LET(
            ccj_count,'Loan Tape (S&amp;P)'!AD7,
            ccj_value,'Loan Tape (S&amp;P)'!AG7,
            ccj_date,'Loan Tape (S&amp;P)'!AH7,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" s="21">
        <f>1.00</f>
        <v/>
      </c>
      <c r="Y7" s="21">
        <f>IFERROR(
        IF('Loan Tape (S&amp;P)'!AR7="Yes",
            LET(
                months_since,('Control Panel'!$B$10-'Loan Tape (S&amp;P)'!AS7)/30.44,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IFERROR(
        LET(
            is_btl,'Loan Tape (S&amp;P)'!L8="BTL",
            seasoning_months,('Control Panel'!$B$10-'Loan Tape (S&amp;P)'!F8)*12,
            threshold_months,VLOOKUP('Control Panel'!$B$6,'Jurisdiction Parameters'!$A:$F,6,FALSE),
            num_borr,'Loan Tape (S&amp;P)'!T8,
            balance,'Loan Tape (S&amp;P)'!B8,
            borr1_inc,'Loan Tape (S&amp;P)'!R8,
            borr2_inc,'Loan Tape (S&amp;P)'!S8,
            total_inc,'Loan Tape (S&amp;P)'!U8,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" s="21">
        <f>IFERROR(
        IF('Loan Tape (S&amp;P)'!L8="BTL",
            LET(
                rental,'Loan Tape (S&amp;P)'!AV8,
                balance,'Loan Tape (S&amp;P)'!B8,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" s="21">
        <f>IFERROR(
        IF('Loan Tape (S&amp;P)'!AS8="First",
            INDEX('FF Adj Parameters'!$B$20:$B$22,1),
            IF('Loan Tape (S&amp;P)'!AS8="Second",
                INDEX('FF Adj Parameters'!$B$20:$B$22,2),
                INDEX('FF Adj Parameters'!$B$20:$B$22,3)
            )
        ),
    1)</f>
        <v/>
      </c>
      <c r="K8" s="21">
        <f>IFERROR(
        IF('Loan Tape (S&amp;P)'!AS8&lt;&gt;"First",1.00,
            IF('Loan Tape (S&amp;P)'!M8="Cash-out",
                INDEX('FF Adj Parameters'!$B$26:$B$28,3),
            1.00)
        ),
    1)</f>
        <v/>
      </c>
      <c r="L8" s="21">
        <f>IFERROR(
        LET(
            arr_months,'Loan Tape (S&amp;P)'!AK8,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" s="21">
        <f>IFERROR(
        IF('Loan Tape (S&amp;P)'!AK8=0,
            LET(
                years,('Control Panel'!$B$10-'Loan Tape (S&amp;P)'!F8)/365.25,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" s="21">
        <f>IFERROR(
        LET(
            is_btl,'Loan Tape (S&amp;P)'!L8="BTL",
            is_htb,'Loan Tape (S&amp;P)'!Q8="Yes",
            is_ftb,'Loan Tape (S&amp;P)'!AP8="Yes",
            seasoning_months,('Control Panel'!$B$10-'Loan Tape (S&amp;P)'!F8)*12,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" s="21">
        <f>IF('Loan Tape (S&amp;P)'!Q8="Yes",
        INDEX('FF Adj Parameters'!$B$42:$B$47,2),
    1.00)</f>
        <v/>
      </c>
      <c r="P8" s="21">
        <f>IF('Loan Tape (S&amp;P)'!P8="Yes",
        INDEX('FF Adj Parameters'!$B$42:$B$47,3),
    1.00)</f>
        <v/>
      </c>
      <c r="Q8" s="21">
        <f>IF('Loan Tape (S&amp;P)'!O8="Yes",
        INDEX('FF Adj Parameters'!$B$42:$B$47,4),
    1.00)</f>
        <v/>
      </c>
      <c r="R8" s="21">
        <f>IFERROR(
        LET(
            is_btl,'Loan Tape (S&amp;P)'!L8="BTL",
            is_self_cert,'Loan Tape (S&amp;P)'!AO8="Yes",
            is_performing,'Loan Tape (S&amp;P)'!AK8=0,
            IF(OR(is_btl,NOT(is_self_cert)),1.00,
                IF(is_performing,
                    LET(
                        months,('Control Panel'!$B$10-'Loan Tape (S&amp;P)'!F8)*12,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" s="21">
        <f>IF('Loan Tape (S&amp;P)'!Q8="Yes",1.00,
        IF('Loan Tape (S&amp;P)'!AQ8="Yes",
            INDEX('FF Adj Parameters'!$B$42:$B$47,5),
        1.00))</f>
        <v/>
      </c>
      <c r="T8" s="21">
        <f>IFERROR(
        IF('Loan Tape (S&amp;P)'!N8&lt;&gt;"Interest Only",1.00,
            IF('Loan Tape (S&amp;P)'!L8="BTL",1.00,
                LET(
                    years_to_mat,('Loan Tape (S&amp;P)'!G8-'Control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" s="21">
        <f>IF('Loan Tape (S&amp;P)'!L8="BTL",1.00,
        IF('Loan Tape (S&amp;P)'!X8="Yes",
            INDEX('FF Adj Parameters'!$B$58:$B$58,1),
        1.00))</f>
        <v/>
      </c>
      <c r="V8" s="21">
        <f>IF('Loan Tape (S&amp;P)'!AU8="Yes",
        INDEX('FF Adj Parameters'!$B$42:$B$47,6),
    1.00)</f>
        <v/>
      </c>
      <c r="W8" s="23">
        <f>IFERROR(
        LET(
            ccj_count,'Loan Tape (S&amp;P)'!AD8,
            ccj_value,'Loan Tape (S&amp;P)'!AG8,
            ccj_date,'Loan Tape (S&amp;P)'!AH8,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" s="21">
        <f>1.00</f>
        <v/>
      </c>
      <c r="Y8" s="21">
        <f>IFERROR(
        IF('Loan Tape (S&amp;P)'!AR8="Yes",
            LET(
                months_since,('Control Panel'!$B$10-'Loan Tape (S&amp;P)'!AS8)/30.44,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IFERROR(
        LET(
            is_btl,'Loan Tape (S&amp;P)'!L9="BTL",
            seasoning_months,('Control Panel'!$B$10-'Loan Tape (S&amp;P)'!F9)*12,
            threshold_months,VLOOKUP('Control Panel'!$B$6,'Jurisdiction Parameters'!$A:$F,6,FALSE),
            num_borr,'Loan Tape (S&amp;P)'!T9,
            balance,'Loan Tape (S&amp;P)'!B9,
            borr1_inc,'Loan Tape (S&amp;P)'!R9,
            borr2_inc,'Loan Tape (S&amp;P)'!S9,
            total_inc,'Loan Tape (S&amp;P)'!U9,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" s="21">
        <f>IFERROR(
        IF('Loan Tape (S&amp;P)'!L9="BTL",
            LET(
                rental,'Loan Tape (S&amp;P)'!AV9,
                balance,'Loan Tape (S&amp;P)'!B9,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" s="21">
        <f>IFERROR(
        IF('Loan Tape (S&amp;P)'!AS9="First",
            INDEX('FF Adj Parameters'!$B$20:$B$22,1),
            IF('Loan Tape (S&amp;P)'!AS9="Second",
                INDEX('FF Adj Parameters'!$B$20:$B$22,2),
                INDEX('FF Adj Parameters'!$B$20:$B$22,3)
            )
        ),
    1)</f>
        <v/>
      </c>
      <c r="K9" s="21">
        <f>IFERROR(
        IF('Loan Tape (S&amp;P)'!AS9&lt;&gt;"First",1.00,
            IF('Loan Tape (S&amp;P)'!M9="Cash-out",
                INDEX('FF Adj Parameters'!$B$26:$B$28,3),
            1.00)
        ),
    1)</f>
        <v/>
      </c>
      <c r="L9" s="21">
        <f>IFERROR(
        LET(
            arr_months,'Loan Tape (S&amp;P)'!AK9,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" s="21">
        <f>IFERROR(
        IF('Loan Tape (S&amp;P)'!AK9=0,
            LET(
                years,('Control Panel'!$B$10-'Loan Tape (S&amp;P)'!F9)/365.25,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" s="21">
        <f>IFERROR(
        LET(
            is_btl,'Loan Tape (S&amp;P)'!L9="BTL",
            is_htb,'Loan Tape (S&amp;P)'!Q9="Yes",
            is_ftb,'Loan Tape (S&amp;P)'!AP9="Yes",
            seasoning_months,('Control Panel'!$B$10-'Loan Tape (S&amp;P)'!F9)*12,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" s="21">
        <f>IF('Loan Tape (S&amp;P)'!Q9="Yes",
        INDEX('FF Adj Parameters'!$B$42:$B$47,2),
    1.00)</f>
        <v/>
      </c>
      <c r="P9" s="21">
        <f>IF('Loan Tape (S&amp;P)'!P9="Yes",
        INDEX('FF Adj Parameters'!$B$42:$B$47,3),
    1.00)</f>
        <v/>
      </c>
      <c r="Q9" s="21">
        <f>IF('Loan Tape (S&amp;P)'!O9="Yes",
        INDEX('FF Adj Parameters'!$B$42:$B$47,4),
    1.00)</f>
        <v/>
      </c>
      <c r="R9" s="21">
        <f>IFERROR(
        LET(
            is_btl,'Loan Tape (S&amp;P)'!L9="BTL",
            is_self_cert,'Loan Tape (S&amp;P)'!AO9="Yes",
            is_performing,'Loan Tape (S&amp;P)'!AK9=0,
            IF(OR(is_btl,NOT(is_self_cert)),1.00,
                IF(is_performing,
                    LET(
                        months,('Control Panel'!$B$10-'Loan Tape (S&amp;P)'!F9)*12,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" s="21">
        <f>IF('Loan Tape (S&amp;P)'!Q9="Yes",1.00,
        IF('Loan Tape (S&amp;P)'!AQ9="Yes",
            INDEX('FF Adj Parameters'!$B$42:$B$47,5),
        1.00))</f>
        <v/>
      </c>
      <c r="T9" s="21">
        <f>IFERROR(
        IF('Loan Tape (S&amp;P)'!N9&lt;&gt;"Interest Only",1.00,
            IF('Loan Tape (S&amp;P)'!L9="BTL",1.00,
                LET(
                    years_to_mat,('Loan Tape (S&amp;P)'!G9-'Control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" s="21">
        <f>IF('Loan Tape (S&amp;P)'!L9="BTL",1.00,
        IF('Loan Tape (S&amp;P)'!X9="Yes",
            INDEX('FF Adj Parameters'!$B$58:$B$58,1),
        1.00))</f>
        <v/>
      </c>
      <c r="V9" s="21">
        <f>IF('Loan Tape (S&amp;P)'!AU9="Yes",
        INDEX('FF Adj Parameters'!$B$42:$B$47,6),
    1.00)</f>
        <v/>
      </c>
      <c r="W9" s="23">
        <f>IFERROR(
        LET(
            ccj_count,'Loan Tape (S&amp;P)'!AD9,
            ccj_value,'Loan Tape (S&amp;P)'!AG9,
            ccj_date,'Loan Tape (S&amp;P)'!AH9,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" s="21">
        <f>1.00</f>
        <v/>
      </c>
      <c r="Y9" s="21">
        <f>IFERROR(
        IF('Loan Tape (S&amp;P)'!AR9="Yes",
            LET(
                months_since,('Control Panel'!$B$10-'Loan Tape (S&amp;P)'!AS9)/30.44,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IFERROR(
        LET(
            is_btl,'Loan Tape (S&amp;P)'!L10="BTL",
            seasoning_months,('Control Panel'!$B$10-'Loan Tape (S&amp;P)'!F10)*12,
            threshold_months,VLOOKUP('Control Panel'!$B$6,'Jurisdiction Parameters'!$A:$F,6,FALSE),
            num_borr,'Loan Tape (S&amp;P)'!T10,
            balance,'Loan Tape (S&amp;P)'!B10,
            borr1_inc,'Loan Tape (S&amp;P)'!R10,
            borr2_inc,'Loan Tape (S&amp;P)'!S10,
            total_inc,'Loan Tape (S&amp;P)'!U10,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" s="21">
        <f>IFERROR(
        IF('Loan Tape (S&amp;P)'!L10="BTL",
            LET(
                rental,'Loan Tape (S&amp;P)'!AV10,
                balance,'Loan Tape (S&amp;P)'!B10,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" s="21">
        <f>IFERROR(
        IF('Loan Tape (S&amp;P)'!AS10="First",
            INDEX('FF Adj Parameters'!$B$20:$B$22,1),
            IF('Loan Tape (S&amp;P)'!AS10="Second",
                INDEX('FF Adj Parameters'!$B$20:$B$22,2),
                INDEX('FF Adj Parameters'!$B$20:$B$22,3)
            )
        ),
    1)</f>
        <v/>
      </c>
      <c r="K10" s="21">
        <f>IFERROR(
        IF('Loan Tape (S&amp;P)'!AS10&lt;&gt;"First",1.00,
            IF('Loan Tape (S&amp;P)'!M10="Cash-out",
                INDEX('FF Adj Parameters'!$B$26:$B$28,3),
            1.00)
        ),
    1)</f>
        <v/>
      </c>
      <c r="L10" s="21">
        <f>IFERROR(
        LET(
            arr_months,'Loan Tape (S&amp;P)'!AK10,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" s="21">
        <f>IFERROR(
        IF('Loan Tape (S&amp;P)'!AK10=0,
            LET(
                years,('Control Panel'!$B$10-'Loan Tape (S&amp;P)'!F10)/365.25,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" s="21">
        <f>IFERROR(
        LET(
            is_btl,'Loan Tape (S&amp;P)'!L10="BTL",
            is_htb,'Loan Tape (S&amp;P)'!Q10="Yes",
            is_ftb,'Loan Tape (S&amp;P)'!AP10="Yes",
            seasoning_months,('Control Panel'!$B$10-'Loan Tape (S&amp;P)'!F10)*12,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" s="21">
        <f>IF('Loan Tape (S&amp;P)'!Q10="Yes",
        INDEX('FF Adj Parameters'!$B$42:$B$47,2),
    1.00)</f>
        <v/>
      </c>
      <c r="P10" s="21">
        <f>IF('Loan Tape (S&amp;P)'!P10="Yes",
        INDEX('FF Adj Parameters'!$B$42:$B$47,3),
    1.00)</f>
        <v/>
      </c>
      <c r="Q10" s="21">
        <f>IF('Loan Tape (S&amp;P)'!O10="Yes",
        INDEX('FF Adj Parameters'!$B$42:$B$47,4),
    1.00)</f>
        <v/>
      </c>
      <c r="R10" s="21">
        <f>IFERROR(
        LET(
            is_btl,'Loan Tape (S&amp;P)'!L10="BTL",
            is_self_cert,'Loan Tape (S&amp;P)'!AO10="Yes",
            is_performing,'Loan Tape (S&amp;P)'!AK10=0,
            IF(OR(is_btl,NOT(is_self_cert)),1.00,
                IF(is_performing,
                    LET(
                        months,('Control Panel'!$B$10-'Loan Tape (S&amp;P)'!F10)*12,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" s="21">
        <f>IF('Loan Tape (S&amp;P)'!Q10="Yes",1.00,
        IF('Loan Tape (S&amp;P)'!AQ10="Yes",
            INDEX('FF Adj Parameters'!$B$42:$B$47,5),
        1.00))</f>
        <v/>
      </c>
      <c r="T10" s="21">
        <f>IFERROR(
        IF('Loan Tape (S&amp;P)'!N10&lt;&gt;"Interest Only",1.00,
            IF('Loan Tape (S&amp;P)'!L10="BTL",1.00,
                LET(
                    years_to_mat,('Loan Tape (S&amp;P)'!G10-'Control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" s="21">
        <f>IF('Loan Tape (S&amp;P)'!L10="BTL",1.00,
        IF('Loan Tape (S&amp;P)'!X10="Yes",
            INDEX('FF Adj Parameters'!$B$58:$B$58,1),
        1.00))</f>
        <v/>
      </c>
      <c r="V10" s="21">
        <f>IF('Loan Tape (S&amp;P)'!AU10="Yes",
        INDEX('FF Adj Parameters'!$B$42:$B$47,6),
    1.00)</f>
        <v/>
      </c>
      <c r="W10" s="23">
        <f>IFERROR(
        LET(
            ccj_count,'Loan Tape (S&amp;P)'!AD10,
            ccj_value,'Loan Tape (S&amp;P)'!AG10,
            ccj_date,'Loan Tape (S&amp;P)'!AH10,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" s="21">
        <f>1.00</f>
        <v/>
      </c>
      <c r="Y10" s="21">
        <f>IFERROR(
        IF('Loan Tape (S&amp;P)'!AR10="Yes",
            LET(
                months_since,('Control Panel'!$B$10-'Loan Tape (S&amp;P)'!AS10)/30.44,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IFERROR(
        LET(
            is_btl,'Loan Tape (S&amp;P)'!L11="BTL",
            seasoning_months,('Control Panel'!$B$10-'Loan Tape (S&amp;P)'!F11)*12,
            threshold_months,VLOOKUP('Control Panel'!$B$6,'Jurisdiction Parameters'!$A:$F,6,FALSE),
            num_borr,'Loan Tape (S&amp;P)'!T11,
            balance,'Loan Tape (S&amp;P)'!B11,
            borr1_inc,'Loan Tape (S&amp;P)'!R11,
            borr2_inc,'Loan Tape (S&amp;P)'!S11,
            total_inc,'Loan Tape (S&amp;P)'!U11,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1" s="21">
        <f>IFERROR(
        IF('Loan Tape (S&amp;P)'!L11="BTL",
            LET(
                rental,'Loan Tape (S&amp;P)'!AV11,
                balance,'Loan Tape (S&amp;P)'!B11,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1" s="21">
        <f>IFERROR(
        IF('Loan Tape (S&amp;P)'!AS11="First",
            INDEX('FF Adj Parameters'!$B$20:$B$22,1),
            IF('Loan Tape (S&amp;P)'!AS11="Second",
                INDEX('FF Adj Parameters'!$B$20:$B$22,2),
                INDEX('FF Adj Parameters'!$B$20:$B$22,3)
            )
        ),
    1)</f>
        <v/>
      </c>
      <c r="K11" s="21">
        <f>IFERROR(
        IF('Loan Tape (S&amp;P)'!AS11&lt;&gt;"First",1.00,
            IF('Loan Tape (S&amp;P)'!M11="Cash-out",
                INDEX('FF Adj Parameters'!$B$26:$B$28,3),
            1.00)
        ),
    1)</f>
        <v/>
      </c>
      <c r="L11" s="21">
        <f>IFERROR(
        LET(
            arr_months,'Loan Tape (S&amp;P)'!AK11,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1" s="21">
        <f>IFERROR(
        IF('Loan Tape (S&amp;P)'!AK11=0,
            LET(
                years,('Control Panel'!$B$10-'Loan Tape (S&amp;P)'!F11)/365.25,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1" s="21">
        <f>IFERROR(
        LET(
            is_btl,'Loan Tape (S&amp;P)'!L11="BTL",
            is_htb,'Loan Tape (S&amp;P)'!Q11="Yes",
            is_ftb,'Loan Tape (S&amp;P)'!AP11="Yes",
            seasoning_months,('Control Panel'!$B$10-'Loan Tape (S&amp;P)'!F11)*12,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1" s="21">
        <f>IF('Loan Tape (S&amp;P)'!Q11="Yes",
        INDEX('FF Adj Parameters'!$B$42:$B$47,2),
    1.00)</f>
        <v/>
      </c>
      <c r="P11" s="21">
        <f>IF('Loan Tape (S&amp;P)'!P11="Yes",
        INDEX('FF Adj Parameters'!$B$42:$B$47,3),
    1.00)</f>
        <v/>
      </c>
      <c r="Q11" s="21">
        <f>IF('Loan Tape (S&amp;P)'!O11="Yes",
        INDEX('FF Adj Parameters'!$B$42:$B$47,4),
    1.00)</f>
        <v/>
      </c>
      <c r="R11" s="21">
        <f>IFERROR(
        LET(
            is_btl,'Loan Tape (S&amp;P)'!L11="BTL",
            is_self_cert,'Loan Tape (S&amp;P)'!AO11="Yes",
            is_performing,'Loan Tape (S&amp;P)'!AK11=0,
            IF(OR(is_btl,NOT(is_self_cert)),1.00,
                IF(is_performing,
                    LET(
                        months,('Control Panel'!$B$10-'Loan Tape (S&amp;P)'!F11)*12,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1" s="21">
        <f>IF('Loan Tape (S&amp;P)'!Q11="Yes",1.00,
        IF('Loan Tape (S&amp;P)'!AQ11="Yes",
            INDEX('FF Adj Parameters'!$B$42:$B$47,5),
        1.00))</f>
        <v/>
      </c>
      <c r="T11" s="21">
        <f>IFERROR(
        IF('Loan Tape (S&amp;P)'!N11&lt;&gt;"Interest Only",1.00,
            IF('Loan Tape (S&amp;P)'!L11="BTL",1.00,
                LET(
                    years_to_mat,('Loan Tape (S&amp;P)'!G11-'Control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1" s="21">
        <f>IF('Loan Tape (S&amp;P)'!L11="BTL",1.00,
        IF('Loan Tape (S&amp;P)'!X11="Yes",
            INDEX('FF Adj Parameters'!$B$58:$B$58,1),
        1.00))</f>
        <v/>
      </c>
      <c r="V11" s="21">
        <f>IF('Loan Tape (S&amp;P)'!AU11="Yes",
        INDEX('FF Adj Parameters'!$B$42:$B$47,6),
    1.00)</f>
        <v/>
      </c>
      <c r="W11" s="23">
        <f>IFERROR(
        LET(
            ccj_count,'Loan Tape (S&amp;P)'!AD11,
            ccj_value,'Loan Tape (S&amp;P)'!AG11,
            ccj_date,'Loan Tape (S&amp;P)'!AH11,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1" s="21">
        <f>1.00</f>
        <v/>
      </c>
      <c r="Y11" s="21">
        <f>IFERROR(
        IF('Loan Tape (S&amp;P)'!AR11="Yes",
            LET(
                months_since,('Control Panel'!$B$10-'Loan Tape (S&amp;P)'!AS11)/30.44,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IFERROR(
        LET(
            is_btl,'Loan Tape (S&amp;P)'!L12="BTL",
            seasoning_months,('Control Panel'!$B$10-'Loan Tape (S&amp;P)'!F12)*12,
            threshold_months,VLOOKUP('Control Panel'!$B$6,'Jurisdiction Parameters'!$A:$F,6,FALSE),
            num_borr,'Loan Tape (S&amp;P)'!T12,
            balance,'Loan Tape (S&amp;P)'!B12,
            borr1_inc,'Loan Tape (S&amp;P)'!R12,
            borr2_inc,'Loan Tape (S&amp;P)'!S12,
            total_inc,'Loan Tape (S&amp;P)'!U12,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2" s="21">
        <f>IFERROR(
        IF('Loan Tape (S&amp;P)'!L12="BTL",
            LET(
                rental,'Loan Tape (S&amp;P)'!AV12,
                balance,'Loan Tape (S&amp;P)'!B12,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2" s="21">
        <f>IFERROR(
        IF('Loan Tape (S&amp;P)'!AS12="First",
            INDEX('FF Adj Parameters'!$B$20:$B$22,1),
            IF('Loan Tape (S&amp;P)'!AS12="Second",
                INDEX('FF Adj Parameters'!$B$20:$B$22,2),
                INDEX('FF Adj Parameters'!$B$20:$B$22,3)
            )
        ),
    1)</f>
        <v/>
      </c>
      <c r="K12" s="21">
        <f>IFERROR(
        IF('Loan Tape (S&amp;P)'!AS12&lt;&gt;"First",1.00,
            IF('Loan Tape (S&amp;P)'!M12="Cash-out",
                INDEX('FF Adj Parameters'!$B$26:$B$28,3),
            1.00)
        ),
    1)</f>
        <v/>
      </c>
      <c r="L12" s="21">
        <f>IFERROR(
        LET(
            arr_months,'Loan Tape (S&amp;P)'!AK12,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2" s="21">
        <f>IFERROR(
        IF('Loan Tape (S&amp;P)'!AK12=0,
            LET(
                years,('Control Panel'!$B$10-'Loan Tape (S&amp;P)'!F12)/365.25,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2" s="21">
        <f>IFERROR(
        LET(
            is_btl,'Loan Tape (S&amp;P)'!L12="BTL",
            is_htb,'Loan Tape (S&amp;P)'!Q12="Yes",
            is_ftb,'Loan Tape (S&amp;P)'!AP12="Yes",
            seasoning_months,('Control Panel'!$B$10-'Loan Tape (S&amp;P)'!F12)*12,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2" s="21">
        <f>IF('Loan Tape (S&amp;P)'!Q12="Yes",
        INDEX('FF Adj Parameters'!$B$42:$B$47,2),
    1.00)</f>
        <v/>
      </c>
      <c r="P12" s="21">
        <f>IF('Loan Tape (S&amp;P)'!P12="Yes",
        INDEX('FF Adj Parameters'!$B$42:$B$47,3),
    1.00)</f>
        <v/>
      </c>
      <c r="Q12" s="21">
        <f>IF('Loan Tape (S&amp;P)'!O12="Yes",
        INDEX('FF Adj Parameters'!$B$42:$B$47,4),
    1.00)</f>
        <v/>
      </c>
      <c r="R12" s="21">
        <f>IFERROR(
        LET(
            is_btl,'Loan Tape (S&amp;P)'!L12="BTL",
            is_self_cert,'Loan Tape (S&amp;P)'!AO12="Yes",
            is_performing,'Loan Tape (S&amp;P)'!AK12=0,
            IF(OR(is_btl,NOT(is_self_cert)),1.00,
                IF(is_performing,
                    LET(
                        months,('Control Panel'!$B$10-'Loan Tape (S&amp;P)'!F12)*12,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2" s="21">
        <f>IF('Loan Tape (S&amp;P)'!Q12="Yes",1.00,
        IF('Loan Tape (S&amp;P)'!AQ12="Yes",
            INDEX('FF Adj Parameters'!$B$42:$B$47,5),
        1.00))</f>
        <v/>
      </c>
      <c r="T12" s="21">
        <f>IFERROR(
        IF('Loan Tape (S&amp;P)'!N12&lt;&gt;"Interest Only",1.00,
            IF('Loan Tape (S&amp;P)'!L12="BTL",1.00,
                LET(
                    years_to_mat,('Loan Tape (S&amp;P)'!G12-'Control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2" s="21">
        <f>IF('Loan Tape (S&amp;P)'!L12="BTL",1.00,
        IF('Loan Tape (S&amp;P)'!X12="Yes",
            INDEX('FF Adj Parameters'!$B$58:$B$58,1),
        1.00))</f>
        <v/>
      </c>
      <c r="V12" s="21">
        <f>IF('Loan Tape (S&amp;P)'!AU12="Yes",
        INDEX('FF Adj Parameters'!$B$42:$B$47,6),
    1.00)</f>
        <v/>
      </c>
      <c r="W12" s="23">
        <f>IFERROR(
        LET(
            ccj_count,'Loan Tape (S&amp;P)'!AD12,
            ccj_value,'Loan Tape (S&amp;P)'!AG12,
            ccj_date,'Loan Tape (S&amp;P)'!AH12,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2" s="21">
        <f>1.00</f>
        <v/>
      </c>
      <c r="Y12" s="21">
        <f>IFERROR(
        IF('Loan Tape (S&amp;P)'!AR12="Yes",
            LET(
                months_since,('Control Panel'!$B$10-'Loan Tape (S&amp;P)'!AS12)/30.44,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IFERROR(
        LET(
            is_btl,'Loan Tape (S&amp;P)'!L13="BTL",
            seasoning_months,('Control Panel'!$B$10-'Loan Tape (S&amp;P)'!F13)*12,
            threshold_months,VLOOKUP('Control Panel'!$B$6,'Jurisdiction Parameters'!$A:$F,6,FALSE),
            num_borr,'Loan Tape (S&amp;P)'!T13,
            balance,'Loan Tape (S&amp;P)'!B13,
            borr1_inc,'Loan Tape (S&amp;P)'!R13,
            borr2_inc,'Loan Tape (S&amp;P)'!S13,
            total_inc,'Loan Tape (S&amp;P)'!U13,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3" s="21">
        <f>IFERROR(
        IF('Loan Tape (S&amp;P)'!L13="BTL",
            LET(
                rental,'Loan Tape (S&amp;P)'!AV13,
                balance,'Loan Tape (S&amp;P)'!B13,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3" s="21">
        <f>IFERROR(
        IF('Loan Tape (S&amp;P)'!AS13="First",
            INDEX('FF Adj Parameters'!$B$20:$B$22,1),
            IF('Loan Tape (S&amp;P)'!AS13="Second",
                INDEX('FF Adj Parameters'!$B$20:$B$22,2),
                INDEX('FF Adj Parameters'!$B$20:$B$22,3)
            )
        ),
    1)</f>
        <v/>
      </c>
      <c r="K13" s="21">
        <f>IFERROR(
        IF('Loan Tape (S&amp;P)'!AS13&lt;&gt;"First",1.00,
            IF('Loan Tape (S&amp;P)'!M13="Cash-out",
                INDEX('FF Adj Parameters'!$B$26:$B$28,3),
            1.00)
        ),
    1)</f>
        <v/>
      </c>
      <c r="L13" s="21">
        <f>IFERROR(
        LET(
            arr_months,'Loan Tape (S&amp;P)'!AK13,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3" s="21">
        <f>IFERROR(
        IF('Loan Tape (S&amp;P)'!AK13=0,
            LET(
                years,('Control Panel'!$B$10-'Loan Tape (S&amp;P)'!F13)/365.25,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3" s="21">
        <f>IFERROR(
        LET(
            is_btl,'Loan Tape (S&amp;P)'!L13="BTL",
            is_htb,'Loan Tape (S&amp;P)'!Q13="Yes",
            is_ftb,'Loan Tape (S&amp;P)'!AP13="Yes",
            seasoning_months,('Control Panel'!$B$10-'Loan Tape (S&amp;P)'!F13)*12,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3" s="21">
        <f>IF('Loan Tape (S&amp;P)'!Q13="Yes",
        INDEX('FF Adj Parameters'!$B$42:$B$47,2),
    1.00)</f>
        <v/>
      </c>
      <c r="P13" s="21">
        <f>IF('Loan Tape (S&amp;P)'!P13="Yes",
        INDEX('FF Adj Parameters'!$B$42:$B$47,3),
    1.00)</f>
        <v/>
      </c>
      <c r="Q13" s="21">
        <f>IF('Loan Tape (S&amp;P)'!O13="Yes",
        INDEX('FF Adj Parameters'!$B$42:$B$47,4),
    1.00)</f>
        <v/>
      </c>
      <c r="R13" s="21">
        <f>IFERROR(
        LET(
            is_btl,'Loan Tape (S&amp;P)'!L13="BTL",
            is_self_cert,'Loan Tape (S&amp;P)'!AO13="Yes",
            is_performing,'Loan Tape (S&amp;P)'!AK13=0,
            IF(OR(is_btl,NOT(is_self_cert)),1.00,
                IF(is_performing,
                    LET(
                        months,('Control Panel'!$B$10-'Loan Tape (S&amp;P)'!F13)*12,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3" s="21">
        <f>IF('Loan Tape (S&amp;P)'!Q13="Yes",1.00,
        IF('Loan Tape (S&amp;P)'!AQ13="Yes",
            INDEX('FF Adj Parameters'!$B$42:$B$47,5),
        1.00))</f>
        <v/>
      </c>
      <c r="T13" s="21">
        <f>IFERROR(
        IF('Loan Tape (S&amp;P)'!N13&lt;&gt;"Interest Only",1.00,
            IF('Loan Tape (S&amp;P)'!L13="BTL",1.00,
                LET(
                    years_to_mat,('Loan Tape (S&amp;P)'!G13-'Control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3" s="21">
        <f>IF('Loan Tape (S&amp;P)'!L13="BTL",1.00,
        IF('Loan Tape (S&amp;P)'!X13="Yes",
            INDEX('FF Adj Parameters'!$B$58:$B$58,1),
        1.00))</f>
        <v/>
      </c>
      <c r="V13" s="21">
        <f>IF('Loan Tape (S&amp;P)'!AU13="Yes",
        INDEX('FF Adj Parameters'!$B$42:$B$47,6),
    1.00)</f>
        <v/>
      </c>
      <c r="W13" s="23">
        <f>IFERROR(
        LET(
            ccj_count,'Loan Tape (S&amp;P)'!AD13,
            ccj_value,'Loan Tape (S&amp;P)'!AG13,
            ccj_date,'Loan Tape (S&amp;P)'!AH13,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3" s="21">
        <f>1.00</f>
        <v/>
      </c>
      <c r="Y13" s="21">
        <f>IFERROR(
        IF('Loan Tape (S&amp;P)'!AR13="Yes",
            LET(
                months_since,('Control Panel'!$B$10-'Loan Tape (S&amp;P)'!AS13)/30.44,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IFERROR(
        LET(
            is_btl,'Loan Tape (S&amp;P)'!L14="BTL",
            seasoning_months,('Control Panel'!$B$10-'Loan Tape (S&amp;P)'!F14)*12,
            threshold_months,VLOOKUP('Control Panel'!$B$6,'Jurisdiction Parameters'!$A:$F,6,FALSE),
            num_borr,'Loan Tape (S&amp;P)'!T14,
            balance,'Loan Tape (S&amp;P)'!B14,
            borr1_inc,'Loan Tape (S&amp;P)'!R14,
            borr2_inc,'Loan Tape (S&amp;P)'!S14,
            total_inc,'Loan Tape (S&amp;P)'!U14,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4" s="21">
        <f>IFERROR(
        IF('Loan Tape (S&amp;P)'!L14="BTL",
            LET(
                rental,'Loan Tape (S&amp;P)'!AV14,
                balance,'Loan Tape (S&amp;P)'!B14,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4" s="21">
        <f>IFERROR(
        IF('Loan Tape (S&amp;P)'!AS14="First",
            INDEX('FF Adj Parameters'!$B$20:$B$22,1),
            IF('Loan Tape (S&amp;P)'!AS14="Second",
                INDEX('FF Adj Parameters'!$B$20:$B$22,2),
                INDEX('FF Adj Parameters'!$B$20:$B$22,3)
            )
        ),
    1)</f>
        <v/>
      </c>
      <c r="K14" s="21">
        <f>IFERROR(
        IF('Loan Tape (S&amp;P)'!AS14&lt;&gt;"First",1.00,
            IF('Loan Tape (S&amp;P)'!M14="Cash-out",
                INDEX('FF Adj Parameters'!$B$26:$B$28,3),
            1.00)
        ),
    1)</f>
        <v/>
      </c>
      <c r="L14" s="21">
        <f>IFERROR(
        LET(
            arr_months,'Loan Tape (S&amp;P)'!AK14,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4" s="21">
        <f>IFERROR(
        IF('Loan Tape (S&amp;P)'!AK14=0,
            LET(
                years,('Control Panel'!$B$10-'Loan Tape (S&amp;P)'!F14)/365.25,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4" s="21">
        <f>IFERROR(
        LET(
            is_btl,'Loan Tape (S&amp;P)'!L14="BTL",
            is_htb,'Loan Tape (S&amp;P)'!Q14="Yes",
            is_ftb,'Loan Tape (S&amp;P)'!AP14="Yes",
            seasoning_months,('Control Panel'!$B$10-'Loan Tape (S&amp;P)'!F14)*12,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4" s="21">
        <f>IF('Loan Tape (S&amp;P)'!Q14="Yes",
        INDEX('FF Adj Parameters'!$B$42:$B$47,2),
    1.00)</f>
        <v/>
      </c>
      <c r="P14" s="21">
        <f>IF('Loan Tape (S&amp;P)'!P14="Yes",
        INDEX('FF Adj Parameters'!$B$42:$B$47,3),
    1.00)</f>
        <v/>
      </c>
      <c r="Q14" s="21">
        <f>IF('Loan Tape (S&amp;P)'!O14="Yes",
        INDEX('FF Adj Parameters'!$B$42:$B$47,4),
    1.00)</f>
        <v/>
      </c>
      <c r="R14" s="21">
        <f>IFERROR(
        LET(
            is_btl,'Loan Tape (S&amp;P)'!L14="BTL",
            is_self_cert,'Loan Tape (S&amp;P)'!AO14="Yes",
            is_performing,'Loan Tape (S&amp;P)'!AK14=0,
            IF(OR(is_btl,NOT(is_self_cert)),1.00,
                IF(is_performing,
                    LET(
                        months,('Control Panel'!$B$10-'Loan Tape (S&amp;P)'!F14)*12,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4" s="21">
        <f>IF('Loan Tape (S&amp;P)'!Q14="Yes",1.00,
        IF('Loan Tape (S&amp;P)'!AQ14="Yes",
            INDEX('FF Adj Parameters'!$B$42:$B$47,5),
        1.00))</f>
        <v/>
      </c>
      <c r="T14" s="21">
        <f>IFERROR(
        IF('Loan Tape (S&amp;P)'!N14&lt;&gt;"Interest Only",1.00,
            IF('Loan Tape (S&amp;P)'!L14="BTL",1.00,
                LET(
                    years_to_mat,('Loan Tape (S&amp;P)'!G14-'Control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4" s="21">
        <f>IF('Loan Tape (S&amp;P)'!L14="BTL",1.00,
        IF('Loan Tape (S&amp;P)'!X14="Yes",
            INDEX('FF Adj Parameters'!$B$58:$B$58,1),
        1.00))</f>
        <v/>
      </c>
      <c r="V14" s="21">
        <f>IF('Loan Tape (S&amp;P)'!AU14="Yes",
        INDEX('FF Adj Parameters'!$B$42:$B$47,6),
    1.00)</f>
        <v/>
      </c>
      <c r="W14" s="23">
        <f>IFERROR(
        LET(
            ccj_count,'Loan Tape (S&amp;P)'!AD14,
            ccj_value,'Loan Tape (S&amp;P)'!AG14,
            ccj_date,'Loan Tape (S&amp;P)'!AH14,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4" s="21">
        <f>1.00</f>
        <v/>
      </c>
      <c r="Y14" s="21">
        <f>IFERROR(
        IF('Loan Tape (S&amp;P)'!AR14="Yes",
            LET(
                months_since,('Control Panel'!$B$10-'Loan Tape (S&amp;P)'!AS14)/30.44,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IFERROR(
        LET(
            is_btl,'Loan Tape (S&amp;P)'!L15="BTL",
            seasoning_months,('Control Panel'!$B$10-'Loan Tape (S&amp;P)'!F15)*12,
            threshold_months,VLOOKUP('Control Panel'!$B$6,'Jurisdiction Parameters'!$A:$F,6,FALSE),
            num_borr,'Loan Tape (S&amp;P)'!T15,
            balance,'Loan Tape (S&amp;P)'!B15,
            borr1_inc,'Loan Tape (S&amp;P)'!R15,
            borr2_inc,'Loan Tape (S&amp;P)'!S15,
            total_inc,'Loan Tape (S&amp;P)'!U15,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5" s="21">
        <f>IFERROR(
        IF('Loan Tape (S&amp;P)'!L15="BTL",
            LET(
                rental,'Loan Tape (S&amp;P)'!AV15,
                balance,'Loan Tape (S&amp;P)'!B15,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5" s="21">
        <f>IFERROR(
        IF('Loan Tape (S&amp;P)'!AS15="First",
            INDEX('FF Adj Parameters'!$B$20:$B$22,1),
            IF('Loan Tape (S&amp;P)'!AS15="Second",
                INDEX('FF Adj Parameters'!$B$20:$B$22,2),
                INDEX('FF Adj Parameters'!$B$20:$B$22,3)
            )
        ),
    1)</f>
        <v/>
      </c>
      <c r="K15" s="21">
        <f>IFERROR(
        IF('Loan Tape (S&amp;P)'!AS15&lt;&gt;"First",1.00,
            IF('Loan Tape (S&amp;P)'!M15="Cash-out",
                INDEX('FF Adj Parameters'!$B$26:$B$28,3),
            1.00)
        ),
    1)</f>
        <v/>
      </c>
      <c r="L15" s="21">
        <f>IFERROR(
        LET(
            arr_months,'Loan Tape (S&amp;P)'!AK15,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5" s="21">
        <f>IFERROR(
        IF('Loan Tape (S&amp;P)'!AK15=0,
            LET(
                years,('Control Panel'!$B$10-'Loan Tape (S&amp;P)'!F15)/365.25,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5" s="21">
        <f>IFERROR(
        LET(
            is_btl,'Loan Tape (S&amp;P)'!L15="BTL",
            is_htb,'Loan Tape (S&amp;P)'!Q15="Yes",
            is_ftb,'Loan Tape (S&amp;P)'!AP15="Yes",
            seasoning_months,('Control Panel'!$B$10-'Loan Tape (S&amp;P)'!F15)*12,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5" s="21">
        <f>IF('Loan Tape (S&amp;P)'!Q15="Yes",
        INDEX('FF Adj Parameters'!$B$42:$B$47,2),
    1.00)</f>
        <v/>
      </c>
      <c r="P15" s="21">
        <f>IF('Loan Tape (S&amp;P)'!P15="Yes",
        INDEX('FF Adj Parameters'!$B$42:$B$47,3),
    1.00)</f>
        <v/>
      </c>
      <c r="Q15" s="21">
        <f>IF('Loan Tape (S&amp;P)'!O15="Yes",
        INDEX('FF Adj Parameters'!$B$42:$B$47,4),
    1.00)</f>
        <v/>
      </c>
      <c r="R15" s="21">
        <f>IFERROR(
        LET(
            is_btl,'Loan Tape (S&amp;P)'!L15="BTL",
            is_self_cert,'Loan Tape (S&amp;P)'!AO15="Yes",
            is_performing,'Loan Tape (S&amp;P)'!AK15=0,
            IF(OR(is_btl,NOT(is_self_cert)),1.00,
                IF(is_performing,
                    LET(
                        months,('Control Panel'!$B$10-'Loan Tape (S&amp;P)'!F15)*12,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5" s="21">
        <f>IF('Loan Tape (S&amp;P)'!Q15="Yes",1.00,
        IF('Loan Tape (S&amp;P)'!AQ15="Yes",
            INDEX('FF Adj Parameters'!$B$42:$B$47,5),
        1.00))</f>
        <v/>
      </c>
      <c r="T15" s="21">
        <f>IFERROR(
        IF('Loan Tape (S&amp;P)'!N15&lt;&gt;"Interest Only",1.00,
            IF('Loan Tape (S&amp;P)'!L15="BTL",1.00,
                LET(
                    years_to_mat,('Loan Tape (S&amp;P)'!G15-'Control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5" s="21">
        <f>IF('Loan Tape (S&amp;P)'!L15="BTL",1.00,
        IF('Loan Tape (S&amp;P)'!X15="Yes",
            INDEX('FF Adj Parameters'!$B$58:$B$58,1),
        1.00))</f>
        <v/>
      </c>
      <c r="V15" s="21">
        <f>IF('Loan Tape (S&amp;P)'!AU15="Yes",
        INDEX('FF Adj Parameters'!$B$42:$B$47,6),
    1.00)</f>
        <v/>
      </c>
      <c r="W15" s="23">
        <f>IFERROR(
        LET(
            ccj_count,'Loan Tape (S&amp;P)'!AD15,
            ccj_value,'Loan Tape (S&amp;P)'!AG15,
            ccj_date,'Loan Tape (S&amp;P)'!AH15,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5" s="21">
        <f>1.00</f>
        <v/>
      </c>
      <c r="Y15" s="21">
        <f>IFERROR(
        IF('Loan Tape (S&amp;P)'!AR15="Yes",
            LET(
                months_since,('Control Panel'!$B$10-'Loan Tape (S&amp;P)'!AS15)/30.44,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IFERROR(
        LET(
            is_btl,'Loan Tape (S&amp;P)'!L16="BTL",
            seasoning_months,('Control Panel'!$B$10-'Loan Tape (S&amp;P)'!F16)*12,
            threshold_months,VLOOKUP('Control Panel'!$B$6,'Jurisdiction Parameters'!$A:$F,6,FALSE),
            num_borr,'Loan Tape (S&amp;P)'!T16,
            balance,'Loan Tape (S&amp;P)'!B16,
            borr1_inc,'Loan Tape (S&amp;P)'!R16,
            borr2_inc,'Loan Tape (S&amp;P)'!S16,
            total_inc,'Loan Tape (S&amp;P)'!U16,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6" s="21">
        <f>IFERROR(
        IF('Loan Tape (S&amp;P)'!L16="BTL",
            LET(
                rental,'Loan Tape (S&amp;P)'!AV16,
                balance,'Loan Tape (S&amp;P)'!B16,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6" s="21">
        <f>IFERROR(
        IF('Loan Tape (S&amp;P)'!AS16="First",
            INDEX('FF Adj Parameters'!$B$20:$B$22,1),
            IF('Loan Tape (S&amp;P)'!AS16="Second",
                INDEX('FF Adj Parameters'!$B$20:$B$22,2),
                INDEX('FF Adj Parameters'!$B$20:$B$22,3)
            )
        ),
    1)</f>
        <v/>
      </c>
      <c r="K16" s="21">
        <f>IFERROR(
        IF('Loan Tape (S&amp;P)'!AS16&lt;&gt;"First",1.00,
            IF('Loan Tape (S&amp;P)'!M16="Cash-out",
                INDEX('FF Adj Parameters'!$B$26:$B$28,3),
            1.00)
        ),
    1)</f>
        <v/>
      </c>
      <c r="L16" s="21">
        <f>IFERROR(
        LET(
            arr_months,'Loan Tape (S&amp;P)'!AK16,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6" s="21">
        <f>IFERROR(
        IF('Loan Tape (S&amp;P)'!AK16=0,
            LET(
                years,('Control Panel'!$B$10-'Loan Tape (S&amp;P)'!F16)/365.25,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6" s="21">
        <f>IFERROR(
        LET(
            is_btl,'Loan Tape (S&amp;P)'!L16="BTL",
            is_htb,'Loan Tape (S&amp;P)'!Q16="Yes",
            is_ftb,'Loan Tape (S&amp;P)'!AP16="Yes",
            seasoning_months,('Control Panel'!$B$10-'Loan Tape (S&amp;P)'!F16)*12,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6" s="21">
        <f>IF('Loan Tape (S&amp;P)'!Q16="Yes",
        INDEX('FF Adj Parameters'!$B$42:$B$47,2),
    1.00)</f>
        <v/>
      </c>
      <c r="P16" s="21">
        <f>IF('Loan Tape (S&amp;P)'!P16="Yes",
        INDEX('FF Adj Parameters'!$B$42:$B$47,3),
    1.00)</f>
        <v/>
      </c>
      <c r="Q16" s="21">
        <f>IF('Loan Tape (S&amp;P)'!O16="Yes",
        INDEX('FF Adj Parameters'!$B$42:$B$47,4),
    1.00)</f>
        <v/>
      </c>
      <c r="R16" s="21">
        <f>IFERROR(
        LET(
            is_btl,'Loan Tape (S&amp;P)'!L16="BTL",
            is_self_cert,'Loan Tape (S&amp;P)'!AO16="Yes",
            is_performing,'Loan Tape (S&amp;P)'!AK16=0,
            IF(OR(is_btl,NOT(is_self_cert)),1.00,
                IF(is_performing,
                    LET(
                        months,('Control Panel'!$B$10-'Loan Tape (S&amp;P)'!F16)*12,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6" s="21">
        <f>IF('Loan Tape (S&amp;P)'!Q16="Yes",1.00,
        IF('Loan Tape (S&amp;P)'!AQ16="Yes",
            INDEX('FF Adj Parameters'!$B$42:$B$47,5),
        1.00))</f>
        <v/>
      </c>
      <c r="T16" s="21">
        <f>IFERROR(
        IF('Loan Tape (S&amp;P)'!N16&lt;&gt;"Interest Only",1.00,
            IF('Loan Tape (S&amp;P)'!L16="BTL",1.00,
                LET(
                    years_to_mat,('Loan Tape (S&amp;P)'!G16-'Control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6" s="21">
        <f>IF('Loan Tape (S&amp;P)'!L16="BTL",1.00,
        IF('Loan Tape (S&amp;P)'!X16="Yes",
            INDEX('FF Adj Parameters'!$B$58:$B$58,1),
        1.00))</f>
        <v/>
      </c>
      <c r="V16" s="21">
        <f>IF('Loan Tape (S&amp;P)'!AU16="Yes",
        INDEX('FF Adj Parameters'!$B$42:$B$47,6),
    1.00)</f>
        <v/>
      </c>
      <c r="W16" s="23">
        <f>IFERROR(
        LET(
            ccj_count,'Loan Tape (S&amp;P)'!AD16,
            ccj_value,'Loan Tape (S&amp;P)'!AG16,
            ccj_date,'Loan Tape (S&amp;P)'!AH16,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6" s="21">
        <f>1.00</f>
        <v/>
      </c>
      <c r="Y16" s="21">
        <f>IFERROR(
        IF('Loan Tape (S&amp;P)'!AR16="Yes",
            LET(
                months_since,('Control Panel'!$B$10-'Loan Tape (S&amp;P)'!AS16)/30.44,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IFERROR(
        LET(
            is_btl,'Loan Tape (S&amp;P)'!L17="BTL",
            seasoning_months,('Control Panel'!$B$10-'Loan Tape (S&amp;P)'!F17)*12,
            threshold_months,VLOOKUP('Control Panel'!$B$6,'Jurisdiction Parameters'!$A:$F,6,FALSE),
            num_borr,'Loan Tape (S&amp;P)'!T17,
            balance,'Loan Tape (S&amp;P)'!B17,
            borr1_inc,'Loan Tape (S&amp;P)'!R17,
            borr2_inc,'Loan Tape (S&amp;P)'!S17,
            total_inc,'Loan Tape (S&amp;P)'!U17,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7" s="21">
        <f>IFERROR(
        IF('Loan Tape (S&amp;P)'!L17="BTL",
            LET(
                rental,'Loan Tape (S&amp;P)'!AV17,
                balance,'Loan Tape (S&amp;P)'!B17,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7" s="21">
        <f>IFERROR(
        IF('Loan Tape (S&amp;P)'!AS17="First",
            INDEX('FF Adj Parameters'!$B$20:$B$22,1),
            IF('Loan Tape (S&amp;P)'!AS17="Second",
                INDEX('FF Adj Parameters'!$B$20:$B$22,2),
                INDEX('FF Adj Parameters'!$B$20:$B$22,3)
            )
        ),
    1)</f>
        <v/>
      </c>
      <c r="K17" s="21">
        <f>IFERROR(
        IF('Loan Tape (S&amp;P)'!AS17&lt;&gt;"First",1.00,
            IF('Loan Tape (S&amp;P)'!M17="Cash-out",
                INDEX('FF Adj Parameters'!$B$26:$B$28,3),
            1.00)
        ),
    1)</f>
        <v/>
      </c>
      <c r="L17" s="21">
        <f>IFERROR(
        LET(
            arr_months,'Loan Tape (S&amp;P)'!AK17,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7" s="21">
        <f>IFERROR(
        IF('Loan Tape (S&amp;P)'!AK17=0,
            LET(
                years,('Control Panel'!$B$10-'Loan Tape (S&amp;P)'!F17)/365.25,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7" s="21">
        <f>IFERROR(
        LET(
            is_btl,'Loan Tape (S&amp;P)'!L17="BTL",
            is_htb,'Loan Tape (S&amp;P)'!Q17="Yes",
            is_ftb,'Loan Tape (S&amp;P)'!AP17="Yes",
            seasoning_months,('Control Panel'!$B$10-'Loan Tape (S&amp;P)'!F17)*12,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7" s="21">
        <f>IF('Loan Tape (S&amp;P)'!Q17="Yes",
        INDEX('FF Adj Parameters'!$B$42:$B$47,2),
    1.00)</f>
        <v/>
      </c>
      <c r="P17" s="21">
        <f>IF('Loan Tape (S&amp;P)'!P17="Yes",
        INDEX('FF Adj Parameters'!$B$42:$B$47,3),
    1.00)</f>
        <v/>
      </c>
      <c r="Q17" s="21">
        <f>IF('Loan Tape (S&amp;P)'!O17="Yes",
        INDEX('FF Adj Parameters'!$B$42:$B$47,4),
    1.00)</f>
        <v/>
      </c>
      <c r="R17" s="21">
        <f>IFERROR(
        LET(
            is_btl,'Loan Tape (S&amp;P)'!L17="BTL",
            is_self_cert,'Loan Tape (S&amp;P)'!AO17="Yes",
            is_performing,'Loan Tape (S&amp;P)'!AK17=0,
            IF(OR(is_btl,NOT(is_self_cert)),1.00,
                IF(is_performing,
                    LET(
                        months,('Control Panel'!$B$10-'Loan Tape (S&amp;P)'!F17)*12,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7" s="21">
        <f>IF('Loan Tape (S&amp;P)'!Q17="Yes",1.00,
        IF('Loan Tape (S&amp;P)'!AQ17="Yes",
            INDEX('FF Adj Parameters'!$B$42:$B$47,5),
        1.00))</f>
        <v/>
      </c>
      <c r="T17" s="21">
        <f>IFERROR(
        IF('Loan Tape (S&amp;P)'!N17&lt;&gt;"Interest Only",1.00,
            IF('Loan Tape (S&amp;P)'!L17="BTL",1.00,
                LET(
                    years_to_mat,('Loan Tape (S&amp;P)'!G17-'Control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7" s="21">
        <f>IF('Loan Tape (S&amp;P)'!L17="BTL",1.00,
        IF('Loan Tape (S&amp;P)'!X17="Yes",
            INDEX('FF Adj Parameters'!$B$58:$B$58,1),
        1.00))</f>
        <v/>
      </c>
      <c r="V17" s="21">
        <f>IF('Loan Tape (S&amp;P)'!AU17="Yes",
        INDEX('FF Adj Parameters'!$B$42:$B$47,6),
    1.00)</f>
        <v/>
      </c>
      <c r="W17" s="23">
        <f>IFERROR(
        LET(
            ccj_count,'Loan Tape (S&amp;P)'!AD17,
            ccj_value,'Loan Tape (S&amp;P)'!AG17,
            ccj_date,'Loan Tape (S&amp;P)'!AH17,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7" s="21">
        <f>1.00</f>
        <v/>
      </c>
      <c r="Y17" s="21">
        <f>IFERROR(
        IF('Loan Tape (S&amp;P)'!AR17="Yes",
            LET(
                months_since,('Control Panel'!$B$10-'Loan Tape (S&amp;P)'!AS17)/30.44,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IFERROR(
        LET(
            is_btl,'Loan Tape (S&amp;P)'!L18="BTL",
            seasoning_months,('Control Panel'!$B$10-'Loan Tape (S&amp;P)'!F18)*12,
            threshold_months,VLOOKUP('Control Panel'!$B$6,'Jurisdiction Parameters'!$A:$F,6,FALSE),
            num_borr,'Loan Tape (S&amp;P)'!T18,
            balance,'Loan Tape (S&amp;P)'!B18,
            borr1_inc,'Loan Tape (S&amp;P)'!R18,
            borr2_inc,'Loan Tape (S&amp;P)'!S18,
            total_inc,'Loan Tape (S&amp;P)'!U18,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8" s="21">
        <f>IFERROR(
        IF('Loan Tape (S&amp;P)'!L18="BTL",
            LET(
                rental,'Loan Tape (S&amp;P)'!AV18,
                balance,'Loan Tape (S&amp;P)'!B18,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8" s="21">
        <f>IFERROR(
        IF('Loan Tape (S&amp;P)'!AS18="First",
            INDEX('FF Adj Parameters'!$B$20:$B$22,1),
            IF('Loan Tape (S&amp;P)'!AS18="Second",
                INDEX('FF Adj Parameters'!$B$20:$B$22,2),
                INDEX('FF Adj Parameters'!$B$20:$B$22,3)
            )
        ),
    1)</f>
        <v/>
      </c>
      <c r="K18" s="21">
        <f>IFERROR(
        IF('Loan Tape (S&amp;P)'!AS18&lt;&gt;"First",1.00,
            IF('Loan Tape (S&amp;P)'!M18="Cash-out",
                INDEX('FF Adj Parameters'!$B$26:$B$28,3),
            1.00)
        ),
    1)</f>
        <v/>
      </c>
      <c r="L18" s="21">
        <f>IFERROR(
        LET(
            arr_months,'Loan Tape (S&amp;P)'!AK18,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8" s="21">
        <f>IFERROR(
        IF('Loan Tape (S&amp;P)'!AK18=0,
            LET(
                years,('Control Panel'!$B$10-'Loan Tape (S&amp;P)'!F18)/365.25,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8" s="21">
        <f>IFERROR(
        LET(
            is_btl,'Loan Tape (S&amp;P)'!L18="BTL",
            is_htb,'Loan Tape (S&amp;P)'!Q18="Yes",
            is_ftb,'Loan Tape (S&amp;P)'!AP18="Yes",
            seasoning_months,('Control Panel'!$B$10-'Loan Tape (S&amp;P)'!F18)*12,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8" s="21">
        <f>IF('Loan Tape (S&amp;P)'!Q18="Yes",
        INDEX('FF Adj Parameters'!$B$42:$B$47,2),
    1.00)</f>
        <v/>
      </c>
      <c r="P18" s="21">
        <f>IF('Loan Tape (S&amp;P)'!P18="Yes",
        INDEX('FF Adj Parameters'!$B$42:$B$47,3),
    1.00)</f>
        <v/>
      </c>
      <c r="Q18" s="21">
        <f>IF('Loan Tape (S&amp;P)'!O18="Yes",
        INDEX('FF Adj Parameters'!$B$42:$B$47,4),
    1.00)</f>
        <v/>
      </c>
      <c r="R18" s="21">
        <f>IFERROR(
        LET(
            is_btl,'Loan Tape (S&amp;P)'!L18="BTL",
            is_self_cert,'Loan Tape (S&amp;P)'!AO18="Yes",
            is_performing,'Loan Tape (S&amp;P)'!AK18=0,
            IF(OR(is_btl,NOT(is_self_cert)),1.00,
                IF(is_performing,
                    LET(
                        months,('Control Panel'!$B$10-'Loan Tape (S&amp;P)'!F18)*12,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8" s="21">
        <f>IF('Loan Tape (S&amp;P)'!Q18="Yes",1.00,
        IF('Loan Tape (S&amp;P)'!AQ18="Yes",
            INDEX('FF Adj Parameters'!$B$42:$B$47,5),
        1.00))</f>
        <v/>
      </c>
      <c r="T18" s="21">
        <f>IFERROR(
        IF('Loan Tape (S&amp;P)'!N18&lt;&gt;"Interest Only",1.00,
            IF('Loan Tape (S&amp;P)'!L18="BTL",1.00,
                LET(
                    years_to_mat,('Loan Tape (S&amp;P)'!G18-'Control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8" s="21">
        <f>IF('Loan Tape (S&amp;P)'!L18="BTL",1.00,
        IF('Loan Tape (S&amp;P)'!X18="Yes",
            INDEX('FF Adj Parameters'!$B$58:$B$58,1),
        1.00))</f>
        <v/>
      </c>
      <c r="V18" s="21">
        <f>IF('Loan Tape (S&amp;P)'!AU18="Yes",
        INDEX('FF Adj Parameters'!$B$42:$B$47,6),
    1.00)</f>
        <v/>
      </c>
      <c r="W18" s="23">
        <f>IFERROR(
        LET(
            ccj_count,'Loan Tape (S&amp;P)'!AD18,
            ccj_value,'Loan Tape (S&amp;P)'!AG18,
            ccj_date,'Loan Tape (S&amp;P)'!AH18,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8" s="21">
        <f>1.00</f>
        <v/>
      </c>
      <c r="Y18" s="21">
        <f>IFERROR(
        IF('Loan Tape (S&amp;P)'!AR18="Yes",
            LET(
                months_since,('Control Panel'!$B$10-'Loan Tape (S&amp;P)'!AS18)/30.44,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IFERROR(
        LET(
            is_btl,'Loan Tape (S&amp;P)'!L19="BTL",
            seasoning_months,('Control Panel'!$B$10-'Loan Tape (S&amp;P)'!F19)*12,
            threshold_months,VLOOKUP('Control Panel'!$B$6,'Jurisdiction Parameters'!$A:$F,6,FALSE),
            num_borr,'Loan Tape (S&amp;P)'!T19,
            balance,'Loan Tape (S&amp;P)'!B19,
            borr1_inc,'Loan Tape (S&amp;P)'!R19,
            borr2_inc,'Loan Tape (S&amp;P)'!S19,
            total_inc,'Loan Tape (S&amp;P)'!U19,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9" s="21">
        <f>IFERROR(
        IF('Loan Tape (S&amp;P)'!L19="BTL",
            LET(
                rental,'Loan Tape (S&amp;P)'!AV19,
                balance,'Loan Tape (S&amp;P)'!B19,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9" s="21">
        <f>IFERROR(
        IF('Loan Tape (S&amp;P)'!AS19="First",
            INDEX('FF Adj Parameters'!$B$20:$B$22,1),
            IF('Loan Tape (S&amp;P)'!AS19="Second",
                INDEX('FF Adj Parameters'!$B$20:$B$22,2),
                INDEX('FF Adj Parameters'!$B$20:$B$22,3)
            )
        ),
    1)</f>
        <v/>
      </c>
      <c r="K19" s="21">
        <f>IFERROR(
        IF('Loan Tape (S&amp;P)'!AS19&lt;&gt;"First",1.00,
            IF('Loan Tape (S&amp;P)'!M19="Cash-out",
                INDEX('FF Adj Parameters'!$B$26:$B$28,3),
            1.00)
        ),
    1)</f>
        <v/>
      </c>
      <c r="L19" s="21">
        <f>IFERROR(
        LET(
            arr_months,'Loan Tape (S&amp;P)'!AK19,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9" s="21">
        <f>IFERROR(
        IF('Loan Tape (S&amp;P)'!AK19=0,
            LET(
                years,('Control Panel'!$B$10-'Loan Tape (S&amp;P)'!F19)/365.25,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9" s="21">
        <f>IFERROR(
        LET(
            is_btl,'Loan Tape (S&amp;P)'!L19="BTL",
            is_htb,'Loan Tape (S&amp;P)'!Q19="Yes",
            is_ftb,'Loan Tape (S&amp;P)'!AP19="Yes",
            seasoning_months,('Control Panel'!$B$10-'Loan Tape (S&amp;P)'!F19)*12,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9" s="21">
        <f>IF('Loan Tape (S&amp;P)'!Q19="Yes",
        INDEX('FF Adj Parameters'!$B$42:$B$47,2),
    1.00)</f>
        <v/>
      </c>
      <c r="P19" s="21">
        <f>IF('Loan Tape (S&amp;P)'!P19="Yes",
        INDEX('FF Adj Parameters'!$B$42:$B$47,3),
    1.00)</f>
        <v/>
      </c>
      <c r="Q19" s="21">
        <f>IF('Loan Tape (S&amp;P)'!O19="Yes",
        INDEX('FF Adj Parameters'!$B$42:$B$47,4),
    1.00)</f>
        <v/>
      </c>
      <c r="R19" s="21">
        <f>IFERROR(
        LET(
            is_btl,'Loan Tape (S&amp;P)'!L19="BTL",
            is_self_cert,'Loan Tape (S&amp;P)'!AO19="Yes",
            is_performing,'Loan Tape (S&amp;P)'!AK19=0,
            IF(OR(is_btl,NOT(is_self_cert)),1.00,
                IF(is_performing,
                    LET(
                        months,('Control Panel'!$B$10-'Loan Tape (S&amp;P)'!F19)*12,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9" s="21">
        <f>IF('Loan Tape (S&amp;P)'!Q19="Yes",1.00,
        IF('Loan Tape (S&amp;P)'!AQ19="Yes",
            INDEX('FF Adj Parameters'!$B$42:$B$47,5),
        1.00))</f>
        <v/>
      </c>
      <c r="T19" s="21">
        <f>IFERROR(
        IF('Loan Tape (S&amp;P)'!N19&lt;&gt;"Interest Only",1.00,
            IF('Loan Tape (S&amp;P)'!L19="BTL",1.00,
                LET(
                    years_to_mat,('Loan Tape (S&amp;P)'!G19-'Control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9" s="21">
        <f>IF('Loan Tape (S&amp;P)'!L19="BTL",1.00,
        IF('Loan Tape (S&amp;P)'!X19="Yes",
            INDEX('FF Adj Parameters'!$B$58:$B$58,1),
        1.00))</f>
        <v/>
      </c>
      <c r="V19" s="21">
        <f>IF('Loan Tape (S&amp;P)'!AU19="Yes",
        INDEX('FF Adj Parameters'!$B$42:$B$47,6),
    1.00)</f>
        <v/>
      </c>
      <c r="W19" s="23">
        <f>IFERROR(
        LET(
            ccj_count,'Loan Tape (S&amp;P)'!AD19,
            ccj_value,'Loan Tape (S&amp;P)'!AG19,
            ccj_date,'Loan Tape (S&amp;P)'!AH19,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9" s="21">
        <f>1.00</f>
        <v/>
      </c>
      <c r="Y19" s="21">
        <f>IFERROR(
        IF('Loan Tape (S&amp;P)'!AR19="Yes",
            LET(
                months_since,('Control Panel'!$B$10-'Loan Tape (S&amp;P)'!AS19)/30.44,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IFERROR(
        LET(
            is_btl,'Loan Tape (S&amp;P)'!L20="BTL",
            seasoning_months,('Control Panel'!$B$10-'Loan Tape (S&amp;P)'!F20)*12,
            threshold_months,VLOOKUP('Control Panel'!$B$6,'Jurisdiction Parameters'!$A:$F,6,FALSE),
            num_borr,'Loan Tape (S&amp;P)'!T20,
            balance,'Loan Tape (S&amp;P)'!B20,
            borr1_inc,'Loan Tape (S&amp;P)'!R20,
            borr2_inc,'Loan Tape (S&amp;P)'!S20,
            total_inc,'Loan Tape (S&amp;P)'!U20,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0" s="21">
        <f>IFERROR(
        IF('Loan Tape (S&amp;P)'!L20="BTL",
            LET(
                rental,'Loan Tape (S&amp;P)'!AV20,
                balance,'Loan Tape (S&amp;P)'!B20,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0" s="21">
        <f>IFERROR(
        IF('Loan Tape (S&amp;P)'!AS20="First",
            INDEX('FF Adj Parameters'!$B$20:$B$22,1),
            IF('Loan Tape (S&amp;P)'!AS20="Second",
                INDEX('FF Adj Parameters'!$B$20:$B$22,2),
                INDEX('FF Adj Parameters'!$B$20:$B$22,3)
            )
        ),
    1)</f>
        <v/>
      </c>
      <c r="K20" s="21">
        <f>IFERROR(
        IF('Loan Tape (S&amp;P)'!AS20&lt;&gt;"First",1.00,
            IF('Loan Tape (S&amp;P)'!M20="Cash-out",
                INDEX('FF Adj Parameters'!$B$26:$B$28,3),
            1.00)
        ),
    1)</f>
        <v/>
      </c>
      <c r="L20" s="21">
        <f>IFERROR(
        LET(
            arr_months,'Loan Tape (S&amp;P)'!AK20,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0" s="21">
        <f>IFERROR(
        IF('Loan Tape (S&amp;P)'!AK20=0,
            LET(
                years,('Control Panel'!$B$10-'Loan Tape (S&amp;P)'!F20)/365.25,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0" s="21">
        <f>IFERROR(
        LET(
            is_btl,'Loan Tape (S&amp;P)'!L20="BTL",
            is_htb,'Loan Tape (S&amp;P)'!Q20="Yes",
            is_ftb,'Loan Tape (S&amp;P)'!AP20="Yes",
            seasoning_months,('Control Panel'!$B$10-'Loan Tape (S&amp;P)'!F20)*12,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0" s="21">
        <f>IF('Loan Tape (S&amp;P)'!Q20="Yes",
        INDEX('FF Adj Parameters'!$B$42:$B$47,2),
    1.00)</f>
        <v/>
      </c>
      <c r="P20" s="21">
        <f>IF('Loan Tape (S&amp;P)'!P20="Yes",
        INDEX('FF Adj Parameters'!$B$42:$B$47,3),
    1.00)</f>
        <v/>
      </c>
      <c r="Q20" s="21">
        <f>IF('Loan Tape (S&amp;P)'!O20="Yes",
        INDEX('FF Adj Parameters'!$B$42:$B$47,4),
    1.00)</f>
        <v/>
      </c>
      <c r="R20" s="21">
        <f>IFERROR(
        LET(
            is_btl,'Loan Tape (S&amp;P)'!L20="BTL",
            is_self_cert,'Loan Tape (S&amp;P)'!AO20="Yes",
            is_performing,'Loan Tape (S&amp;P)'!AK20=0,
            IF(OR(is_btl,NOT(is_self_cert)),1.00,
                IF(is_performing,
                    LET(
                        months,('Control Panel'!$B$10-'Loan Tape (S&amp;P)'!F20)*12,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0" s="21">
        <f>IF('Loan Tape (S&amp;P)'!Q20="Yes",1.00,
        IF('Loan Tape (S&amp;P)'!AQ20="Yes",
            INDEX('FF Adj Parameters'!$B$42:$B$47,5),
        1.00))</f>
        <v/>
      </c>
      <c r="T20" s="21">
        <f>IFERROR(
        IF('Loan Tape (S&amp;P)'!N20&lt;&gt;"Interest Only",1.00,
            IF('Loan Tape (S&amp;P)'!L20="BTL",1.00,
                LET(
                    years_to_mat,('Loan Tape (S&amp;P)'!G20-'Control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0" s="21">
        <f>IF('Loan Tape (S&amp;P)'!L20="BTL",1.00,
        IF('Loan Tape (S&amp;P)'!X20="Yes",
            INDEX('FF Adj Parameters'!$B$58:$B$58,1),
        1.00))</f>
        <v/>
      </c>
      <c r="V20" s="21">
        <f>IF('Loan Tape (S&amp;P)'!AU20="Yes",
        INDEX('FF Adj Parameters'!$B$42:$B$47,6),
    1.00)</f>
        <v/>
      </c>
      <c r="W20" s="23">
        <f>IFERROR(
        LET(
            ccj_count,'Loan Tape (S&amp;P)'!AD20,
            ccj_value,'Loan Tape (S&amp;P)'!AG20,
            ccj_date,'Loan Tape (S&amp;P)'!AH20,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0" s="21">
        <f>1.00</f>
        <v/>
      </c>
      <c r="Y20" s="21">
        <f>IFERROR(
        IF('Loan Tape (S&amp;P)'!AR20="Yes",
            LET(
                months_since,('Control Panel'!$B$10-'Loan Tape (S&amp;P)'!AS20)/30.44,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IFERROR(
        LET(
            is_btl,'Loan Tape (S&amp;P)'!L21="BTL",
            seasoning_months,('Control Panel'!$B$10-'Loan Tape (S&amp;P)'!F21)*12,
            threshold_months,VLOOKUP('Control Panel'!$B$6,'Jurisdiction Parameters'!$A:$F,6,FALSE),
            num_borr,'Loan Tape (S&amp;P)'!T21,
            balance,'Loan Tape (S&amp;P)'!B21,
            borr1_inc,'Loan Tape (S&amp;P)'!R21,
            borr2_inc,'Loan Tape (S&amp;P)'!S21,
            total_inc,'Loan Tape (S&amp;P)'!U21,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1" s="21">
        <f>IFERROR(
        IF('Loan Tape (S&amp;P)'!L21="BTL",
            LET(
                rental,'Loan Tape (S&amp;P)'!AV21,
                balance,'Loan Tape (S&amp;P)'!B21,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1" s="21">
        <f>IFERROR(
        IF('Loan Tape (S&amp;P)'!AS21="First",
            INDEX('FF Adj Parameters'!$B$20:$B$22,1),
            IF('Loan Tape (S&amp;P)'!AS21="Second",
                INDEX('FF Adj Parameters'!$B$20:$B$22,2),
                INDEX('FF Adj Parameters'!$B$20:$B$22,3)
            )
        ),
    1)</f>
        <v/>
      </c>
      <c r="K21" s="21">
        <f>IFERROR(
        IF('Loan Tape (S&amp;P)'!AS21&lt;&gt;"First",1.00,
            IF('Loan Tape (S&amp;P)'!M21="Cash-out",
                INDEX('FF Adj Parameters'!$B$26:$B$28,3),
            1.00)
        ),
    1)</f>
        <v/>
      </c>
      <c r="L21" s="21">
        <f>IFERROR(
        LET(
            arr_months,'Loan Tape (S&amp;P)'!AK21,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1" s="21">
        <f>IFERROR(
        IF('Loan Tape (S&amp;P)'!AK21=0,
            LET(
                years,('Control Panel'!$B$10-'Loan Tape (S&amp;P)'!F21)/365.25,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1" s="21">
        <f>IFERROR(
        LET(
            is_btl,'Loan Tape (S&amp;P)'!L21="BTL",
            is_htb,'Loan Tape (S&amp;P)'!Q21="Yes",
            is_ftb,'Loan Tape (S&amp;P)'!AP21="Yes",
            seasoning_months,('Control Panel'!$B$10-'Loan Tape (S&amp;P)'!F21)*12,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1" s="21">
        <f>IF('Loan Tape (S&amp;P)'!Q21="Yes",
        INDEX('FF Adj Parameters'!$B$42:$B$47,2),
    1.00)</f>
        <v/>
      </c>
      <c r="P21" s="21">
        <f>IF('Loan Tape (S&amp;P)'!P21="Yes",
        INDEX('FF Adj Parameters'!$B$42:$B$47,3),
    1.00)</f>
        <v/>
      </c>
      <c r="Q21" s="21">
        <f>IF('Loan Tape (S&amp;P)'!O21="Yes",
        INDEX('FF Adj Parameters'!$B$42:$B$47,4),
    1.00)</f>
        <v/>
      </c>
      <c r="R21" s="21">
        <f>IFERROR(
        LET(
            is_btl,'Loan Tape (S&amp;P)'!L21="BTL",
            is_self_cert,'Loan Tape (S&amp;P)'!AO21="Yes",
            is_performing,'Loan Tape (S&amp;P)'!AK21=0,
            IF(OR(is_btl,NOT(is_self_cert)),1.00,
                IF(is_performing,
                    LET(
                        months,('Control Panel'!$B$10-'Loan Tape (S&amp;P)'!F21)*12,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1" s="21">
        <f>IF('Loan Tape (S&amp;P)'!Q21="Yes",1.00,
        IF('Loan Tape (S&amp;P)'!AQ21="Yes",
            INDEX('FF Adj Parameters'!$B$42:$B$47,5),
        1.00))</f>
        <v/>
      </c>
      <c r="T21" s="21">
        <f>IFERROR(
        IF('Loan Tape (S&amp;P)'!N21&lt;&gt;"Interest Only",1.00,
            IF('Loan Tape (S&amp;P)'!L21="BTL",1.00,
                LET(
                    years_to_mat,('Loan Tape (S&amp;P)'!G21-'Control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1" s="21">
        <f>IF('Loan Tape (S&amp;P)'!L21="BTL",1.00,
        IF('Loan Tape (S&amp;P)'!X21="Yes",
            INDEX('FF Adj Parameters'!$B$58:$B$58,1),
        1.00))</f>
        <v/>
      </c>
      <c r="V21" s="21">
        <f>IF('Loan Tape (S&amp;P)'!AU21="Yes",
        INDEX('FF Adj Parameters'!$B$42:$B$47,6),
    1.00)</f>
        <v/>
      </c>
      <c r="W21" s="23">
        <f>IFERROR(
        LET(
            ccj_count,'Loan Tape (S&amp;P)'!AD21,
            ccj_value,'Loan Tape (S&amp;P)'!AG21,
            ccj_date,'Loan Tape (S&amp;P)'!AH21,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1" s="21">
        <f>1.00</f>
        <v/>
      </c>
      <c r="Y21" s="21">
        <f>IFERROR(
        IF('Loan Tape (S&amp;P)'!AR21="Yes",
            LET(
                months_since,('Control Panel'!$B$10-'Loan Tape (S&amp;P)'!AS21)/30.44,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IFERROR(
        LET(
            is_btl,'Loan Tape (S&amp;P)'!L22="BTL",
            seasoning_months,('Control Panel'!$B$10-'Loan Tape (S&amp;P)'!F22)*12,
            threshold_months,VLOOKUP('Control Panel'!$B$6,'Jurisdiction Parameters'!$A:$F,6,FALSE),
            num_borr,'Loan Tape (S&amp;P)'!T22,
            balance,'Loan Tape (S&amp;P)'!B22,
            borr1_inc,'Loan Tape (S&amp;P)'!R22,
            borr2_inc,'Loan Tape (S&amp;P)'!S22,
            total_inc,'Loan Tape (S&amp;P)'!U22,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2" s="21">
        <f>IFERROR(
        IF('Loan Tape (S&amp;P)'!L22="BTL",
            LET(
                rental,'Loan Tape (S&amp;P)'!AV22,
                balance,'Loan Tape (S&amp;P)'!B22,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2" s="21">
        <f>IFERROR(
        IF('Loan Tape (S&amp;P)'!AS22="First",
            INDEX('FF Adj Parameters'!$B$20:$B$22,1),
            IF('Loan Tape (S&amp;P)'!AS22="Second",
                INDEX('FF Adj Parameters'!$B$20:$B$22,2),
                INDEX('FF Adj Parameters'!$B$20:$B$22,3)
            )
        ),
    1)</f>
        <v/>
      </c>
      <c r="K22" s="21">
        <f>IFERROR(
        IF('Loan Tape (S&amp;P)'!AS22&lt;&gt;"First",1.00,
            IF('Loan Tape (S&amp;P)'!M22="Cash-out",
                INDEX('FF Adj Parameters'!$B$26:$B$28,3),
            1.00)
        ),
    1)</f>
        <v/>
      </c>
      <c r="L22" s="21">
        <f>IFERROR(
        LET(
            arr_months,'Loan Tape (S&amp;P)'!AK22,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2" s="21">
        <f>IFERROR(
        IF('Loan Tape (S&amp;P)'!AK22=0,
            LET(
                years,('Control Panel'!$B$10-'Loan Tape (S&amp;P)'!F22)/365.25,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2" s="21">
        <f>IFERROR(
        LET(
            is_btl,'Loan Tape (S&amp;P)'!L22="BTL",
            is_htb,'Loan Tape (S&amp;P)'!Q22="Yes",
            is_ftb,'Loan Tape (S&amp;P)'!AP22="Yes",
            seasoning_months,('Control Panel'!$B$10-'Loan Tape (S&amp;P)'!F22)*12,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2" s="21">
        <f>IF('Loan Tape (S&amp;P)'!Q22="Yes",
        INDEX('FF Adj Parameters'!$B$42:$B$47,2),
    1.00)</f>
        <v/>
      </c>
      <c r="P22" s="21">
        <f>IF('Loan Tape (S&amp;P)'!P22="Yes",
        INDEX('FF Adj Parameters'!$B$42:$B$47,3),
    1.00)</f>
        <v/>
      </c>
      <c r="Q22" s="21">
        <f>IF('Loan Tape (S&amp;P)'!O22="Yes",
        INDEX('FF Adj Parameters'!$B$42:$B$47,4),
    1.00)</f>
        <v/>
      </c>
      <c r="R22" s="21">
        <f>IFERROR(
        LET(
            is_btl,'Loan Tape (S&amp;P)'!L22="BTL",
            is_self_cert,'Loan Tape (S&amp;P)'!AO22="Yes",
            is_performing,'Loan Tape (S&amp;P)'!AK22=0,
            IF(OR(is_btl,NOT(is_self_cert)),1.00,
                IF(is_performing,
                    LET(
                        months,('Control Panel'!$B$10-'Loan Tape (S&amp;P)'!F22)*12,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2" s="21">
        <f>IF('Loan Tape (S&amp;P)'!Q22="Yes",1.00,
        IF('Loan Tape (S&amp;P)'!AQ22="Yes",
            INDEX('FF Adj Parameters'!$B$42:$B$47,5),
        1.00))</f>
        <v/>
      </c>
      <c r="T22" s="21">
        <f>IFERROR(
        IF('Loan Tape (S&amp;P)'!N22&lt;&gt;"Interest Only",1.00,
            IF('Loan Tape (S&amp;P)'!L22="BTL",1.00,
                LET(
                    years_to_mat,('Loan Tape (S&amp;P)'!G22-'Control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2" s="21">
        <f>IF('Loan Tape (S&amp;P)'!L22="BTL",1.00,
        IF('Loan Tape (S&amp;P)'!X22="Yes",
            INDEX('FF Adj Parameters'!$B$58:$B$58,1),
        1.00))</f>
        <v/>
      </c>
      <c r="V22" s="21">
        <f>IF('Loan Tape (S&amp;P)'!AU22="Yes",
        INDEX('FF Adj Parameters'!$B$42:$B$47,6),
    1.00)</f>
        <v/>
      </c>
      <c r="W22" s="23">
        <f>IFERROR(
        LET(
            ccj_count,'Loan Tape (S&amp;P)'!AD22,
            ccj_value,'Loan Tape (S&amp;P)'!AG22,
            ccj_date,'Loan Tape (S&amp;P)'!AH22,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2" s="21">
        <f>1.00</f>
        <v/>
      </c>
      <c r="Y22" s="21">
        <f>IFERROR(
        IF('Loan Tape (S&amp;P)'!AR22="Yes",
            LET(
                months_since,('Control Panel'!$B$10-'Loan Tape (S&amp;P)'!AS22)/30.44,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IFERROR(
        LET(
            is_btl,'Loan Tape (S&amp;P)'!L23="BTL",
            seasoning_months,('Control Panel'!$B$10-'Loan Tape (S&amp;P)'!F23)*12,
            threshold_months,VLOOKUP('Control Panel'!$B$6,'Jurisdiction Parameters'!$A:$F,6,FALSE),
            num_borr,'Loan Tape (S&amp;P)'!T23,
            balance,'Loan Tape (S&amp;P)'!B23,
            borr1_inc,'Loan Tape (S&amp;P)'!R23,
            borr2_inc,'Loan Tape (S&amp;P)'!S23,
            total_inc,'Loan Tape (S&amp;P)'!U23,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3" s="21">
        <f>IFERROR(
        IF('Loan Tape (S&amp;P)'!L23="BTL",
            LET(
                rental,'Loan Tape (S&amp;P)'!AV23,
                balance,'Loan Tape (S&amp;P)'!B23,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3" s="21">
        <f>IFERROR(
        IF('Loan Tape (S&amp;P)'!AS23="First",
            INDEX('FF Adj Parameters'!$B$20:$B$22,1),
            IF('Loan Tape (S&amp;P)'!AS23="Second",
                INDEX('FF Adj Parameters'!$B$20:$B$22,2),
                INDEX('FF Adj Parameters'!$B$20:$B$22,3)
            )
        ),
    1)</f>
        <v/>
      </c>
      <c r="K23" s="21">
        <f>IFERROR(
        IF('Loan Tape (S&amp;P)'!AS23&lt;&gt;"First",1.00,
            IF('Loan Tape (S&amp;P)'!M23="Cash-out",
                INDEX('FF Adj Parameters'!$B$26:$B$28,3),
            1.00)
        ),
    1)</f>
        <v/>
      </c>
      <c r="L23" s="21">
        <f>IFERROR(
        LET(
            arr_months,'Loan Tape (S&amp;P)'!AK23,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3" s="21">
        <f>IFERROR(
        IF('Loan Tape (S&amp;P)'!AK23=0,
            LET(
                years,('Control Panel'!$B$10-'Loan Tape (S&amp;P)'!F23)/365.25,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3" s="21">
        <f>IFERROR(
        LET(
            is_btl,'Loan Tape (S&amp;P)'!L23="BTL",
            is_htb,'Loan Tape (S&amp;P)'!Q23="Yes",
            is_ftb,'Loan Tape (S&amp;P)'!AP23="Yes",
            seasoning_months,('Control Panel'!$B$10-'Loan Tape (S&amp;P)'!F23)*12,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3" s="21">
        <f>IF('Loan Tape (S&amp;P)'!Q23="Yes",
        INDEX('FF Adj Parameters'!$B$42:$B$47,2),
    1.00)</f>
        <v/>
      </c>
      <c r="P23" s="21">
        <f>IF('Loan Tape (S&amp;P)'!P23="Yes",
        INDEX('FF Adj Parameters'!$B$42:$B$47,3),
    1.00)</f>
        <v/>
      </c>
      <c r="Q23" s="21">
        <f>IF('Loan Tape (S&amp;P)'!O23="Yes",
        INDEX('FF Adj Parameters'!$B$42:$B$47,4),
    1.00)</f>
        <v/>
      </c>
      <c r="R23" s="21">
        <f>IFERROR(
        LET(
            is_btl,'Loan Tape (S&amp;P)'!L23="BTL",
            is_self_cert,'Loan Tape (S&amp;P)'!AO23="Yes",
            is_performing,'Loan Tape (S&amp;P)'!AK23=0,
            IF(OR(is_btl,NOT(is_self_cert)),1.00,
                IF(is_performing,
                    LET(
                        months,('Control Panel'!$B$10-'Loan Tape (S&amp;P)'!F23)*12,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3" s="21">
        <f>IF('Loan Tape (S&amp;P)'!Q23="Yes",1.00,
        IF('Loan Tape (S&amp;P)'!AQ23="Yes",
            INDEX('FF Adj Parameters'!$B$42:$B$47,5),
        1.00))</f>
        <v/>
      </c>
      <c r="T23" s="21">
        <f>IFERROR(
        IF('Loan Tape (S&amp;P)'!N23&lt;&gt;"Interest Only",1.00,
            IF('Loan Tape (S&amp;P)'!L23="BTL",1.00,
                LET(
                    years_to_mat,('Loan Tape (S&amp;P)'!G23-'Control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3" s="21">
        <f>IF('Loan Tape (S&amp;P)'!L23="BTL",1.00,
        IF('Loan Tape (S&amp;P)'!X23="Yes",
            INDEX('FF Adj Parameters'!$B$58:$B$58,1),
        1.00))</f>
        <v/>
      </c>
      <c r="V23" s="21">
        <f>IF('Loan Tape (S&amp;P)'!AU23="Yes",
        INDEX('FF Adj Parameters'!$B$42:$B$47,6),
    1.00)</f>
        <v/>
      </c>
      <c r="W23" s="23">
        <f>IFERROR(
        LET(
            ccj_count,'Loan Tape (S&amp;P)'!AD23,
            ccj_value,'Loan Tape (S&amp;P)'!AG23,
            ccj_date,'Loan Tape (S&amp;P)'!AH23,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3" s="21">
        <f>1.00</f>
        <v/>
      </c>
      <c r="Y23" s="21">
        <f>IFERROR(
        IF('Loan Tape (S&amp;P)'!AR23="Yes",
            LET(
                months_since,('Control Panel'!$B$10-'Loan Tape (S&amp;P)'!AS23)/30.44,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IFERROR(
        LET(
            is_btl,'Loan Tape (S&amp;P)'!L24="BTL",
            seasoning_months,('Control Panel'!$B$10-'Loan Tape (S&amp;P)'!F24)*12,
            threshold_months,VLOOKUP('Control Panel'!$B$6,'Jurisdiction Parameters'!$A:$F,6,FALSE),
            num_borr,'Loan Tape (S&amp;P)'!T24,
            balance,'Loan Tape (S&amp;P)'!B24,
            borr1_inc,'Loan Tape (S&amp;P)'!R24,
            borr2_inc,'Loan Tape (S&amp;P)'!S24,
            total_inc,'Loan Tape (S&amp;P)'!U24,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4" s="21">
        <f>IFERROR(
        IF('Loan Tape (S&amp;P)'!L24="BTL",
            LET(
                rental,'Loan Tape (S&amp;P)'!AV24,
                balance,'Loan Tape (S&amp;P)'!B24,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4" s="21">
        <f>IFERROR(
        IF('Loan Tape (S&amp;P)'!AS24="First",
            INDEX('FF Adj Parameters'!$B$20:$B$22,1),
            IF('Loan Tape (S&amp;P)'!AS24="Second",
                INDEX('FF Adj Parameters'!$B$20:$B$22,2),
                INDEX('FF Adj Parameters'!$B$20:$B$22,3)
            )
        ),
    1)</f>
        <v/>
      </c>
      <c r="K24" s="21">
        <f>IFERROR(
        IF('Loan Tape (S&amp;P)'!AS24&lt;&gt;"First",1.00,
            IF('Loan Tape (S&amp;P)'!M24="Cash-out",
                INDEX('FF Adj Parameters'!$B$26:$B$28,3),
            1.00)
        ),
    1)</f>
        <v/>
      </c>
      <c r="L24" s="21">
        <f>IFERROR(
        LET(
            arr_months,'Loan Tape (S&amp;P)'!AK24,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4" s="21">
        <f>IFERROR(
        IF('Loan Tape (S&amp;P)'!AK24=0,
            LET(
                years,('Control Panel'!$B$10-'Loan Tape (S&amp;P)'!F24)/365.25,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4" s="21">
        <f>IFERROR(
        LET(
            is_btl,'Loan Tape (S&amp;P)'!L24="BTL",
            is_htb,'Loan Tape (S&amp;P)'!Q24="Yes",
            is_ftb,'Loan Tape (S&amp;P)'!AP24="Yes",
            seasoning_months,('Control Panel'!$B$10-'Loan Tape (S&amp;P)'!F24)*12,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4" s="21">
        <f>IF('Loan Tape (S&amp;P)'!Q24="Yes",
        INDEX('FF Adj Parameters'!$B$42:$B$47,2),
    1.00)</f>
        <v/>
      </c>
      <c r="P24" s="21">
        <f>IF('Loan Tape (S&amp;P)'!P24="Yes",
        INDEX('FF Adj Parameters'!$B$42:$B$47,3),
    1.00)</f>
        <v/>
      </c>
      <c r="Q24" s="21">
        <f>IF('Loan Tape (S&amp;P)'!O24="Yes",
        INDEX('FF Adj Parameters'!$B$42:$B$47,4),
    1.00)</f>
        <v/>
      </c>
      <c r="R24" s="21">
        <f>IFERROR(
        LET(
            is_btl,'Loan Tape (S&amp;P)'!L24="BTL",
            is_self_cert,'Loan Tape (S&amp;P)'!AO24="Yes",
            is_performing,'Loan Tape (S&amp;P)'!AK24=0,
            IF(OR(is_btl,NOT(is_self_cert)),1.00,
                IF(is_performing,
                    LET(
                        months,('Control Panel'!$B$10-'Loan Tape (S&amp;P)'!F24)*12,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4" s="21">
        <f>IF('Loan Tape (S&amp;P)'!Q24="Yes",1.00,
        IF('Loan Tape (S&amp;P)'!AQ24="Yes",
            INDEX('FF Adj Parameters'!$B$42:$B$47,5),
        1.00))</f>
        <v/>
      </c>
      <c r="T24" s="21">
        <f>IFERROR(
        IF('Loan Tape (S&amp;P)'!N24&lt;&gt;"Interest Only",1.00,
            IF('Loan Tape (S&amp;P)'!L24="BTL",1.00,
                LET(
                    years_to_mat,('Loan Tape (S&amp;P)'!G24-'Control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4" s="21">
        <f>IF('Loan Tape (S&amp;P)'!L24="BTL",1.00,
        IF('Loan Tape (S&amp;P)'!X24="Yes",
            INDEX('FF Adj Parameters'!$B$58:$B$58,1),
        1.00))</f>
        <v/>
      </c>
      <c r="V24" s="21">
        <f>IF('Loan Tape (S&amp;P)'!AU24="Yes",
        INDEX('FF Adj Parameters'!$B$42:$B$47,6),
    1.00)</f>
        <v/>
      </c>
      <c r="W24" s="23">
        <f>IFERROR(
        LET(
            ccj_count,'Loan Tape (S&amp;P)'!AD24,
            ccj_value,'Loan Tape (S&amp;P)'!AG24,
            ccj_date,'Loan Tape (S&amp;P)'!AH24,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4" s="21">
        <f>1.00</f>
        <v/>
      </c>
      <c r="Y24" s="21">
        <f>IFERROR(
        IF('Loan Tape (S&amp;P)'!AR24="Yes",
            LET(
                months_since,('Control Panel'!$B$10-'Loan Tape (S&amp;P)'!AS24)/30.44,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IFERROR(
        LET(
            is_btl,'Loan Tape (S&amp;P)'!L25="BTL",
            seasoning_months,('Control Panel'!$B$10-'Loan Tape (S&amp;P)'!F25)*12,
            threshold_months,VLOOKUP('Control Panel'!$B$6,'Jurisdiction Parameters'!$A:$F,6,FALSE),
            num_borr,'Loan Tape (S&amp;P)'!T25,
            balance,'Loan Tape (S&amp;P)'!B25,
            borr1_inc,'Loan Tape (S&amp;P)'!R25,
            borr2_inc,'Loan Tape (S&amp;P)'!S25,
            total_inc,'Loan Tape (S&amp;P)'!U25,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5" s="21">
        <f>IFERROR(
        IF('Loan Tape (S&amp;P)'!L25="BTL",
            LET(
                rental,'Loan Tape (S&amp;P)'!AV25,
                balance,'Loan Tape (S&amp;P)'!B25,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5" s="21">
        <f>IFERROR(
        IF('Loan Tape (S&amp;P)'!AS25="First",
            INDEX('FF Adj Parameters'!$B$20:$B$22,1),
            IF('Loan Tape (S&amp;P)'!AS25="Second",
                INDEX('FF Adj Parameters'!$B$20:$B$22,2),
                INDEX('FF Adj Parameters'!$B$20:$B$22,3)
            )
        ),
    1)</f>
        <v/>
      </c>
      <c r="K25" s="21">
        <f>IFERROR(
        IF('Loan Tape (S&amp;P)'!AS25&lt;&gt;"First",1.00,
            IF('Loan Tape (S&amp;P)'!M25="Cash-out",
                INDEX('FF Adj Parameters'!$B$26:$B$28,3),
            1.00)
        ),
    1)</f>
        <v/>
      </c>
      <c r="L25" s="21">
        <f>IFERROR(
        LET(
            arr_months,'Loan Tape (S&amp;P)'!AK25,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5" s="21">
        <f>IFERROR(
        IF('Loan Tape (S&amp;P)'!AK25=0,
            LET(
                years,('Control Panel'!$B$10-'Loan Tape (S&amp;P)'!F25)/365.25,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5" s="21">
        <f>IFERROR(
        LET(
            is_btl,'Loan Tape (S&amp;P)'!L25="BTL",
            is_htb,'Loan Tape (S&amp;P)'!Q25="Yes",
            is_ftb,'Loan Tape (S&amp;P)'!AP25="Yes",
            seasoning_months,('Control Panel'!$B$10-'Loan Tape (S&amp;P)'!F25)*12,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5" s="21">
        <f>IF('Loan Tape (S&amp;P)'!Q25="Yes",
        INDEX('FF Adj Parameters'!$B$42:$B$47,2),
    1.00)</f>
        <v/>
      </c>
      <c r="P25" s="21">
        <f>IF('Loan Tape (S&amp;P)'!P25="Yes",
        INDEX('FF Adj Parameters'!$B$42:$B$47,3),
    1.00)</f>
        <v/>
      </c>
      <c r="Q25" s="21">
        <f>IF('Loan Tape (S&amp;P)'!O25="Yes",
        INDEX('FF Adj Parameters'!$B$42:$B$47,4),
    1.00)</f>
        <v/>
      </c>
      <c r="R25" s="21">
        <f>IFERROR(
        LET(
            is_btl,'Loan Tape (S&amp;P)'!L25="BTL",
            is_self_cert,'Loan Tape (S&amp;P)'!AO25="Yes",
            is_performing,'Loan Tape (S&amp;P)'!AK25=0,
            IF(OR(is_btl,NOT(is_self_cert)),1.00,
                IF(is_performing,
                    LET(
                        months,('Control Panel'!$B$10-'Loan Tape (S&amp;P)'!F25)*12,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5" s="21">
        <f>IF('Loan Tape (S&amp;P)'!Q25="Yes",1.00,
        IF('Loan Tape (S&amp;P)'!AQ25="Yes",
            INDEX('FF Adj Parameters'!$B$42:$B$47,5),
        1.00))</f>
        <v/>
      </c>
      <c r="T25" s="21">
        <f>IFERROR(
        IF('Loan Tape (S&amp;P)'!N25&lt;&gt;"Interest Only",1.00,
            IF('Loan Tape (S&amp;P)'!L25="BTL",1.00,
                LET(
                    years_to_mat,('Loan Tape (S&amp;P)'!G25-'Control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5" s="21">
        <f>IF('Loan Tape (S&amp;P)'!L25="BTL",1.00,
        IF('Loan Tape (S&amp;P)'!X25="Yes",
            INDEX('FF Adj Parameters'!$B$58:$B$58,1),
        1.00))</f>
        <v/>
      </c>
      <c r="V25" s="21">
        <f>IF('Loan Tape (S&amp;P)'!AU25="Yes",
        INDEX('FF Adj Parameters'!$B$42:$B$47,6),
    1.00)</f>
        <v/>
      </c>
      <c r="W25" s="23">
        <f>IFERROR(
        LET(
            ccj_count,'Loan Tape (S&amp;P)'!AD25,
            ccj_value,'Loan Tape (S&amp;P)'!AG25,
            ccj_date,'Loan Tape (S&amp;P)'!AH25,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5" s="21">
        <f>1.00</f>
        <v/>
      </c>
      <c r="Y25" s="21">
        <f>IFERROR(
        IF('Loan Tape (S&amp;P)'!AR25="Yes",
            LET(
                months_since,('Control Panel'!$B$10-'Loan Tape (S&amp;P)'!AS25)/30.44,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IFERROR(
        LET(
            is_btl,'Loan Tape (S&amp;P)'!L26="BTL",
            seasoning_months,('Control Panel'!$B$10-'Loan Tape (S&amp;P)'!F26)*12,
            threshold_months,VLOOKUP('Control Panel'!$B$6,'Jurisdiction Parameters'!$A:$F,6,FALSE),
            num_borr,'Loan Tape (S&amp;P)'!T26,
            balance,'Loan Tape (S&amp;P)'!B26,
            borr1_inc,'Loan Tape (S&amp;P)'!R26,
            borr2_inc,'Loan Tape (S&amp;P)'!S26,
            total_inc,'Loan Tape (S&amp;P)'!U26,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6" s="21">
        <f>IFERROR(
        IF('Loan Tape (S&amp;P)'!L26="BTL",
            LET(
                rental,'Loan Tape (S&amp;P)'!AV26,
                balance,'Loan Tape (S&amp;P)'!B26,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6" s="21">
        <f>IFERROR(
        IF('Loan Tape (S&amp;P)'!AS26="First",
            INDEX('FF Adj Parameters'!$B$20:$B$22,1),
            IF('Loan Tape (S&amp;P)'!AS26="Second",
                INDEX('FF Adj Parameters'!$B$20:$B$22,2),
                INDEX('FF Adj Parameters'!$B$20:$B$22,3)
            )
        ),
    1)</f>
        <v/>
      </c>
      <c r="K26" s="21">
        <f>IFERROR(
        IF('Loan Tape (S&amp;P)'!AS26&lt;&gt;"First",1.00,
            IF('Loan Tape (S&amp;P)'!M26="Cash-out",
                INDEX('FF Adj Parameters'!$B$26:$B$28,3),
            1.00)
        ),
    1)</f>
        <v/>
      </c>
      <c r="L26" s="21">
        <f>IFERROR(
        LET(
            arr_months,'Loan Tape (S&amp;P)'!AK26,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6" s="21">
        <f>IFERROR(
        IF('Loan Tape (S&amp;P)'!AK26=0,
            LET(
                years,('Control Panel'!$B$10-'Loan Tape (S&amp;P)'!F26)/365.25,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6" s="21">
        <f>IFERROR(
        LET(
            is_btl,'Loan Tape (S&amp;P)'!L26="BTL",
            is_htb,'Loan Tape (S&amp;P)'!Q26="Yes",
            is_ftb,'Loan Tape (S&amp;P)'!AP26="Yes",
            seasoning_months,('Control Panel'!$B$10-'Loan Tape (S&amp;P)'!F26)*12,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6" s="21">
        <f>IF('Loan Tape (S&amp;P)'!Q26="Yes",
        INDEX('FF Adj Parameters'!$B$42:$B$47,2),
    1.00)</f>
        <v/>
      </c>
      <c r="P26" s="21">
        <f>IF('Loan Tape (S&amp;P)'!P26="Yes",
        INDEX('FF Adj Parameters'!$B$42:$B$47,3),
    1.00)</f>
        <v/>
      </c>
      <c r="Q26" s="21">
        <f>IF('Loan Tape (S&amp;P)'!O26="Yes",
        INDEX('FF Adj Parameters'!$B$42:$B$47,4),
    1.00)</f>
        <v/>
      </c>
      <c r="R26" s="21">
        <f>IFERROR(
        LET(
            is_btl,'Loan Tape (S&amp;P)'!L26="BTL",
            is_self_cert,'Loan Tape (S&amp;P)'!AO26="Yes",
            is_performing,'Loan Tape (S&amp;P)'!AK26=0,
            IF(OR(is_btl,NOT(is_self_cert)),1.00,
                IF(is_performing,
                    LET(
                        months,('Control Panel'!$B$10-'Loan Tape (S&amp;P)'!F26)*12,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6" s="21">
        <f>IF('Loan Tape (S&amp;P)'!Q26="Yes",1.00,
        IF('Loan Tape (S&amp;P)'!AQ26="Yes",
            INDEX('FF Adj Parameters'!$B$42:$B$47,5),
        1.00))</f>
        <v/>
      </c>
      <c r="T26" s="21">
        <f>IFERROR(
        IF('Loan Tape (S&amp;P)'!N26&lt;&gt;"Interest Only",1.00,
            IF('Loan Tape (S&amp;P)'!L26="BTL",1.00,
                LET(
                    years_to_mat,('Loan Tape (S&amp;P)'!G26-'Control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6" s="21">
        <f>IF('Loan Tape (S&amp;P)'!L26="BTL",1.00,
        IF('Loan Tape (S&amp;P)'!X26="Yes",
            INDEX('FF Adj Parameters'!$B$58:$B$58,1),
        1.00))</f>
        <v/>
      </c>
      <c r="V26" s="21">
        <f>IF('Loan Tape (S&amp;P)'!AU26="Yes",
        INDEX('FF Adj Parameters'!$B$42:$B$47,6),
    1.00)</f>
        <v/>
      </c>
      <c r="W26" s="23">
        <f>IFERROR(
        LET(
            ccj_count,'Loan Tape (S&amp;P)'!AD26,
            ccj_value,'Loan Tape (S&amp;P)'!AG26,
            ccj_date,'Loan Tape (S&amp;P)'!AH26,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6" s="21">
        <f>1.00</f>
        <v/>
      </c>
      <c r="Y26" s="21">
        <f>IFERROR(
        IF('Loan Tape (S&amp;P)'!AR26="Yes",
            LET(
                months_since,('Control Panel'!$B$10-'Loan Tape (S&amp;P)'!AS26)/30.44,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IFERROR(
        LET(
            is_btl,'Loan Tape (S&amp;P)'!L27="BTL",
            seasoning_months,('Control Panel'!$B$10-'Loan Tape (S&amp;P)'!F27)*12,
            threshold_months,VLOOKUP('Control Panel'!$B$6,'Jurisdiction Parameters'!$A:$F,6,FALSE),
            num_borr,'Loan Tape (S&amp;P)'!T27,
            balance,'Loan Tape (S&amp;P)'!B27,
            borr1_inc,'Loan Tape (S&amp;P)'!R27,
            borr2_inc,'Loan Tape (S&amp;P)'!S27,
            total_inc,'Loan Tape (S&amp;P)'!U27,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7" s="21">
        <f>IFERROR(
        IF('Loan Tape (S&amp;P)'!L27="BTL",
            LET(
                rental,'Loan Tape (S&amp;P)'!AV27,
                balance,'Loan Tape (S&amp;P)'!B27,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7" s="21">
        <f>IFERROR(
        IF('Loan Tape (S&amp;P)'!AS27="First",
            INDEX('FF Adj Parameters'!$B$20:$B$22,1),
            IF('Loan Tape (S&amp;P)'!AS27="Second",
                INDEX('FF Adj Parameters'!$B$20:$B$22,2),
                INDEX('FF Adj Parameters'!$B$20:$B$22,3)
            )
        ),
    1)</f>
        <v/>
      </c>
      <c r="K27" s="21">
        <f>IFERROR(
        IF('Loan Tape (S&amp;P)'!AS27&lt;&gt;"First",1.00,
            IF('Loan Tape (S&amp;P)'!M27="Cash-out",
                INDEX('FF Adj Parameters'!$B$26:$B$28,3),
            1.00)
        ),
    1)</f>
        <v/>
      </c>
      <c r="L27" s="21">
        <f>IFERROR(
        LET(
            arr_months,'Loan Tape (S&amp;P)'!AK27,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7" s="21">
        <f>IFERROR(
        IF('Loan Tape (S&amp;P)'!AK27=0,
            LET(
                years,('Control Panel'!$B$10-'Loan Tape (S&amp;P)'!F27)/365.25,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7" s="21">
        <f>IFERROR(
        LET(
            is_btl,'Loan Tape (S&amp;P)'!L27="BTL",
            is_htb,'Loan Tape (S&amp;P)'!Q27="Yes",
            is_ftb,'Loan Tape (S&amp;P)'!AP27="Yes",
            seasoning_months,('Control Panel'!$B$10-'Loan Tape (S&amp;P)'!F27)*12,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7" s="21">
        <f>IF('Loan Tape (S&amp;P)'!Q27="Yes",
        INDEX('FF Adj Parameters'!$B$42:$B$47,2),
    1.00)</f>
        <v/>
      </c>
      <c r="P27" s="21">
        <f>IF('Loan Tape (S&amp;P)'!P27="Yes",
        INDEX('FF Adj Parameters'!$B$42:$B$47,3),
    1.00)</f>
        <v/>
      </c>
      <c r="Q27" s="21">
        <f>IF('Loan Tape (S&amp;P)'!O27="Yes",
        INDEX('FF Adj Parameters'!$B$42:$B$47,4),
    1.00)</f>
        <v/>
      </c>
      <c r="R27" s="21">
        <f>IFERROR(
        LET(
            is_btl,'Loan Tape (S&amp;P)'!L27="BTL",
            is_self_cert,'Loan Tape (S&amp;P)'!AO27="Yes",
            is_performing,'Loan Tape (S&amp;P)'!AK27=0,
            IF(OR(is_btl,NOT(is_self_cert)),1.00,
                IF(is_performing,
                    LET(
                        months,('Control Panel'!$B$10-'Loan Tape (S&amp;P)'!F27)*12,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7" s="21">
        <f>IF('Loan Tape (S&amp;P)'!Q27="Yes",1.00,
        IF('Loan Tape (S&amp;P)'!AQ27="Yes",
            INDEX('FF Adj Parameters'!$B$42:$B$47,5),
        1.00))</f>
        <v/>
      </c>
      <c r="T27" s="21">
        <f>IFERROR(
        IF('Loan Tape (S&amp;P)'!N27&lt;&gt;"Interest Only",1.00,
            IF('Loan Tape (S&amp;P)'!L27="BTL",1.00,
                LET(
                    years_to_mat,('Loan Tape (S&amp;P)'!G27-'Control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7" s="21">
        <f>IF('Loan Tape (S&amp;P)'!L27="BTL",1.00,
        IF('Loan Tape (S&amp;P)'!X27="Yes",
            INDEX('FF Adj Parameters'!$B$58:$B$58,1),
        1.00))</f>
        <v/>
      </c>
      <c r="V27" s="21">
        <f>IF('Loan Tape (S&amp;P)'!AU27="Yes",
        INDEX('FF Adj Parameters'!$B$42:$B$47,6),
    1.00)</f>
        <v/>
      </c>
      <c r="W27" s="23">
        <f>IFERROR(
        LET(
            ccj_count,'Loan Tape (S&amp;P)'!AD27,
            ccj_value,'Loan Tape (S&amp;P)'!AG27,
            ccj_date,'Loan Tape (S&amp;P)'!AH27,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7" s="21">
        <f>1.00</f>
        <v/>
      </c>
      <c r="Y27" s="21">
        <f>IFERROR(
        IF('Loan Tape (S&amp;P)'!AR27="Yes",
            LET(
                months_since,('Control Panel'!$B$10-'Loan Tape (S&amp;P)'!AS27)/30.44,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IFERROR(
        LET(
            is_btl,'Loan Tape (S&amp;P)'!L28="BTL",
            seasoning_months,('Control Panel'!$B$10-'Loan Tape (S&amp;P)'!F28)*12,
            threshold_months,VLOOKUP('Control Panel'!$B$6,'Jurisdiction Parameters'!$A:$F,6,FALSE),
            num_borr,'Loan Tape (S&amp;P)'!T28,
            balance,'Loan Tape (S&amp;P)'!B28,
            borr1_inc,'Loan Tape (S&amp;P)'!R28,
            borr2_inc,'Loan Tape (S&amp;P)'!S28,
            total_inc,'Loan Tape (S&amp;P)'!U28,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8" s="21">
        <f>IFERROR(
        IF('Loan Tape (S&amp;P)'!L28="BTL",
            LET(
                rental,'Loan Tape (S&amp;P)'!AV28,
                balance,'Loan Tape (S&amp;P)'!B28,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8" s="21">
        <f>IFERROR(
        IF('Loan Tape (S&amp;P)'!AS28="First",
            INDEX('FF Adj Parameters'!$B$20:$B$22,1),
            IF('Loan Tape (S&amp;P)'!AS28="Second",
                INDEX('FF Adj Parameters'!$B$20:$B$22,2),
                INDEX('FF Adj Parameters'!$B$20:$B$22,3)
            )
        ),
    1)</f>
        <v/>
      </c>
      <c r="K28" s="21">
        <f>IFERROR(
        IF('Loan Tape (S&amp;P)'!AS28&lt;&gt;"First",1.00,
            IF('Loan Tape (S&amp;P)'!M28="Cash-out",
                INDEX('FF Adj Parameters'!$B$26:$B$28,3),
            1.00)
        ),
    1)</f>
        <v/>
      </c>
      <c r="L28" s="21">
        <f>IFERROR(
        LET(
            arr_months,'Loan Tape (S&amp;P)'!AK28,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8" s="21">
        <f>IFERROR(
        IF('Loan Tape (S&amp;P)'!AK28=0,
            LET(
                years,('Control Panel'!$B$10-'Loan Tape (S&amp;P)'!F28)/365.25,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8" s="21">
        <f>IFERROR(
        LET(
            is_btl,'Loan Tape (S&amp;P)'!L28="BTL",
            is_htb,'Loan Tape (S&amp;P)'!Q28="Yes",
            is_ftb,'Loan Tape (S&amp;P)'!AP28="Yes",
            seasoning_months,('Control Panel'!$B$10-'Loan Tape (S&amp;P)'!F28)*12,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8" s="21">
        <f>IF('Loan Tape (S&amp;P)'!Q28="Yes",
        INDEX('FF Adj Parameters'!$B$42:$B$47,2),
    1.00)</f>
        <v/>
      </c>
      <c r="P28" s="21">
        <f>IF('Loan Tape (S&amp;P)'!P28="Yes",
        INDEX('FF Adj Parameters'!$B$42:$B$47,3),
    1.00)</f>
        <v/>
      </c>
      <c r="Q28" s="21">
        <f>IF('Loan Tape (S&amp;P)'!O28="Yes",
        INDEX('FF Adj Parameters'!$B$42:$B$47,4),
    1.00)</f>
        <v/>
      </c>
      <c r="R28" s="21">
        <f>IFERROR(
        LET(
            is_btl,'Loan Tape (S&amp;P)'!L28="BTL",
            is_self_cert,'Loan Tape (S&amp;P)'!AO28="Yes",
            is_performing,'Loan Tape (S&amp;P)'!AK28=0,
            IF(OR(is_btl,NOT(is_self_cert)),1.00,
                IF(is_performing,
                    LET(
                        months,('Control Panel'!$B$10-'Loan Tape (S&amp;P)'!F28)*12,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8" s="21">
        <f>IF('Loan Tape (S&amp;P)'!Q28="Yes",1.00,
        IF('Loan Tape (S&amp;P)'!AQ28="Yes",
            INDEX('FF Adj Parameters'!$B$42:$B$47,5),
        1.00))</f>
        <v/>
      </c>
      <c r="T28" s="21">
        <f>IFERROR(
        IF('Loan Tape (S&amp;P)'!N28&lt;&gt;"Interest Only",1.00,
            IF('Loan Tape (S&amp;P)'!L28="BTL",1.00,
                LET(
                    years_to_mat,('Loan Tape (S&amp;P)'!G28-'Control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8" s="21">
        <f>IF('Loan Tape (S&amp;P)'!L28="BTL",1.00,
        IF('Loan Tape (S&amp;P)'!X28="Yes",
            INDEX('FF Adj Parameters'!$B$58:$B$58,1),
        1.00))</f>
        <v/>
      </c>
      <c r="V28" s="21">
        <f>IF('Loan Tape (S&amp;P)'!AU28="Yes",
        INDEX('FF Adj Parameters'!$B$42:$B$47,6),
    1.00)</f>
        <v/>
      </c>
      <c r="W28" s="23">
        <f>IFERROR(
        LET(
            ccj_count,'Loan Tape (S&amp;P)'!AD28,
            ccj_value,'Loan Tape (S&amp;P)'!AG28,
            ccj_date,'Loan Tape (S&amp;P)'!AH28,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8" s="21">
        <f>1.00</f>
        <v/>
      </c>
      <c r="Y28" s="21">
        <f>IFERROR(
        IF('Loan Tape (S&amp;P)'!AR28="Yes",
            LET(
                months_since,('Control Panel'!$B$10-'Loan Tape (S&amp;P)'!AS28)/30.44,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IFERROR(
        LET(
            is_btl,'Loan Tape (S&amp;P)'!L29="BTL",
            seasoning_months,('Control Panel'!$B$10-'Loan Tape (S&amp;P)'!F29)*12,
            threshold_months,VLOOKUP('Control Panel'!$B$6,'Jurisdiction Parameters'!$A:$F,6,FALSE),
            num_borr,'Loan Tape (S&amp;P)'!T29,
            balance,'Loan Tape (S&amp;P)'!B29,
            borr1_inc,'Loan Tape (S&amp;P)'!R29,
            borr2_inc,'Loan Tape (S&amp;P)'!S29,
            total_inc,'Loan Tape (S&amp;P)'!U29,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29" s="21">
        <f>IFERROR(
        IF('Loan Tape (S&amp;P)'!L29="BTL",
            LET(
                rental,'Loan Tape (S&amp;P)'!AV29,
                balance,'Loan Tape (S&amp;P)'!B29,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29" s="21">
        <f>IFERROR(
        IF('Loan Tape (S&amp;P)'!AS29="First",
            INDEX('FF Adj Parameters'!$B$20:$B$22,1),
            IF('Loan Tape (S&amp;P)'!AS29="Second",
                INDEX('FF Adj Parameters'!$B$20:$B$22,2),
                INDEX('FF Adj Parameters'!$B$20:$B$22,3)
            )
        ),
    1)</f>
        <v/>
      </c>
      <c r="K29" s="21">
        <f>IFERROR(
        IF('Loan Tape (S&amp;P)'!AS29&lt;&gt;"First",1.00,
            IF('Loan Tape (S&amp;P)'!M29="Cash-out",
                INDEX('FF Adj Parameters'!$B$26:$B$28,3),
            1.00)
        ),
    1)</f>
        <v/>
      </c>
      <c r="L29" s="21">
        <f>IFERROR(
        LET(
            arr_months,'Loan Tape (S&amp;P)'!AK29,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29" s="21">
        <f>IFERROR(
        IF('Loan Tape (S&amp;P)'!AK29=0,
            LET(
                years,('Control Panel'!$B$10-'Loan Tape (S&amp;P)'!F29)/365.25,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29" s="21">
        <f>IFERROR(
        LET(
            is_btl,'Loan Tape (S&amp;P)'!L29="BTL",
            is_htb,'Loan Tape (S&amp;P)'!Q29="Yes",
            is_ftb,'Loan Tape (S&amp;P)'!AP29="Yes",
            seasoning_months,('Control Panel'!$B$10-'Loan Tape (S&amp;P)'!F29)*12,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29" s="21">
        <f>IF('Loan Tape (S&amp;P)'!Q29="Yes",
        INDEX('FF Adj Parameters'!$B$42:$B$47,2),
    1.00)</f>
        <v/>
      </c>
      <c r="P29" s="21">
        <f>IF('Loan Tape (S&amp;P)'!P29="Yes",
        INDEX('FF Adj Parameters'!$B$42:$B$47,3),
    1.00)</f>
        <v/>
      </c>
      <c r="Q29" s="21">
        <f>IF('Loan Tape (S&amp;P)'!O29="Yes",
        INDEX('FF Adj Parameters'!$B$42:$B$47,4),
    1.00)</f>
        <v/>
      </c>
      <c r="R29" s="21">
        <f>IFERROR(
        LET(
            is_btl,'Loan Tape (S&amp;P)'!L29="BTL",
            is_self_cert,'Loan Tape (S&amp;P)'!AO29="Yes",
            is_performing,'Loan Tape (S&amp;P)'!AK29=0,
            IF(OR(is_btl,NOT(is_self_cert)),1.00,
                IF(is_performing,
                    LET(
                        months,('Control Panel'!$B$10-'Loan Tape (S&amp;P)'!F29)*12,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29" s="21">
        <f>IF('Loan Tape (S&amp;P)'!Q29="Yes",1.00,
        IF('Loan Tape (S&amp;P)'!AQ29="Yes",
            INDEX('FF Adj Parameters'!$B$42:$B$47,5),
        1.00))</f>
        <v/>
      </c>
      <c r="T29" s="21">
        <f>IFERROR(
        IF('Loan Tape (S&amp;P)'!N29&lt;&gt;"Interest Only",1.00,
            IF('Loan Tape (S&amp;P)'!L29="BTL",1.00,
                LET(
                    years_to_mat,('Loan Tape (S&amp;P)'!G29-'Control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29" s="21">
        <f>IF('Loan Tape (S&amp;P)'!L29="BTL",1.00,
        IF('Loan Tape (S&amp;P)'!X29="Yes",
            INDEX('FF Adj Parameters'!$B$58:$B$58,1),
        1.00))</f>
        <v/>
      </c>
      <c r="V29" s="21">
        <f>IF('Loan Tape (S&amp;P)'!AU29="Yes",
        INDEX('FF Adj Parameters'!$B$42:$B$47,6),
    1.00)</f>
        <v/>
      </c>
      <c r="W29" s="23">
        <f>IFERROR(
        LET(
            ccj_count,'Loan Tape (S&amp;P)'!AD29,
            ccj_value,'Loan Tape (S&amp;P)'!AG29,
            ccj_date,'Loan Tape (S&amp;P)'!AH29,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29" s="21">
        <f>1.00</f>
        <v/>
      </c>
      <c r="Y29" s="21">
        <f>IFERROR(
        IF('Loan Tape (S&amp;P)'!AR29="Yes",
            LET(
                months_since,('Control Panel'!$B$10-'Loan Tape (S&amp;P)'!AS29)/30.44,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IFERROR(
        LET(
            is_btl,'Loan Tape (S&amp;P)'!L30="BTL",
            seasoning_months,('Control Panel'!$B$10-'Loan Tape (S&amp;P)'!F30)*12,
            threshold_months,VLOOKUP('Control Panel'!$B$6,'Jurisdiction Parameters'!$A:$F,6,FALSE),
            num_borr,'Loan Tape (S&amp;P)'!T30,
            balance,'Loan Tape (S&amp;P)'!B30,
            borr1_inc,'Loan Tape (S&amp;P)'!R30,
            borr2_inc,'Loan Tape (S&amp;P)'!S30,
            total_inc,'Loan Tape (S&amp;P)'!U30,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0" s="21">
        <f>IFERROR(
        IF('Loan Tape (S&amp;P)'!L30="BTL",
            LET(
                rental,'Loan Tape (S&amp;P)'!AV30,
                balance,'Loan Tape (S&amp;P)'!B30,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0" s="21">
        <f>IFERROR(
        IF('Loan Tape (S&amp;P)'!AS30="First",
            INDEX('FF Adj Parameters'!$B$20:$B$22,1),
            IF('Loan Tape (S&amp;P)'!AS30="Second",
                INDEX('FF Adj Parameters'!$B$20:$B$22,2),
                INDEX('FF Adj Parameters'!$B$20:$B$22,3)
            )
        ),
    1)</f>
        <v/>
      </c>
      <c r="K30" s="21">
        <f>IFERROR(
        IF('Loan Tape (S&amp;P)'!AS30&lt;&gt;"First",1.00,
            IF('Loan Tape (S&amp;P)'!M30="Cash-out",
                INDEX('FF Adj Parameters'!$B$26:$B$28,3),
            1.00)
        ),
    1)</f>
        <v/>
      </c>
      <c r="L30" s="21">
        <f>IFERROR(
        LET(
            arr_months,'Loan Tape (S&amp;P)'!AK30,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0" s="21">
        <f>IFERROR(
        IF('Loan Tape (S&amp;P)'!AK30=0,
            LET(
                years,('Control Panel'!$B$10-'Loan Tape (S&amp;P)'!F30)/365.25,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0" s="21">
        <f>IFERROR(
        LET(
            is_btl,'Loan Tape (S&amp;P)'!L30="BTL",
            is_htb,'Loan Tape (S&amp;P)'!Q30="Yes",
            is_ftb,'Loan Tape (S&amp;P)'!AP30="Yes",
            seasoning_months,('Control Panel'!$B$10-'Loan Tape (S&amp;P)'!F30)*12,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0" s="21">
        <f>IF('Loan Tape (S&amp;P)'!Q30="Yes",
        INDEX('FF Adj Parameters'!$B$42:$B$47,2),
    1.00)</f>
        <v/>
      </c>
      <c r="P30" s="21">
        <f>IF('Loan Tape (S&amp;P)'!P30="Yes",
        INDEX('FF Adj Parameters'!$B$42:$B$47,3),
    1.00)</f>
        <v/>
      </c>
      <c r="Q30" s="21">
        <f>IF('Loan Tape (S&amp;P)'!O30="Yes",
        INDEX('FF Adj Parameters'!$B$42:$B$47,4),
    1.00)</f>
        <v/>
      </c>
      <c r="R30" s="21">
        <f>IFERROR(
        LET(
            is_btl,'Loan Tape (S&amp;P)'!L30="BTL",
            is_self_cert,'Loan Tape (S&amp;P)'!AO30="Yes",
            is_performing,'Loan Tape (S&amp;P)'!AK30=0,
            IF(OR(is_btl,NOT(is_self_cert)),1.00,
                IF(is_performing,
                    LET(
                        months,('Control Panel'!$B$10-'Loan Tape (S&amp;P)'!F30)*12,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0" s="21">
        <f>IF('Loan Tape (S&amp;P)'!Q30="Yes",1.00,
        IF('Loan Tape (S&amp;P)'!AQ30="Yes",
            INDEX('FF Adj Parameters'!$B$42:$B$47,5),
        1.00))</f>
        <v/>
      </c>
      <c r="T30" s="21">
        <f>IFERROR(
        IF('Loan Tape (S&amp;P)'!N30&lt;&gt;"Interest Only",1.00,
            IF('Loan Tape (S&amp;P)'!L30="BTL",1.00,
                LET(
                    years_to_mat,('Loan Tape (S&amp;P)'!G30-'Control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0" s="21">
        <f>IF('Loan Tape (S&amp;P)'!L30="BTL",1.00,
        IF('Loan Tape (S&amp;P)'!X30="Yes",
            INDEX('FF Adj Parameters'!$B$58:$B$58,1),
        1.00))</f>
        <v/>
      </c>
      <c r="V30" s="21">
        <f>IF('Loan Tape (S&amp;P)'!AU30="Yes",
        INDEX('FF Adj Parameters'!$B$42:$B$47,6),
    1.00)</f>
        <v/>
      </c>
      <c r="W30" s="23">
        <f>IFERROR(
        LET(
            ccj_count,'Loan Tape (S&amp;P)'!AD30,
            ccj_value,'Loan Tape (S&amp;P)'!AG30,
            ccj_date,'Loan Tape (S&amp;P)'!AH30,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0" s="21">
        <f>1.00</f>
        <v/>
      </c>
      <c r="Y30" s="21">
        <f>IFERROR(
        IF('Loan Tape (S&amp;P)'!AR30="Yes",
            LET(
                months_since,('Control Panel'!$B$10-'Loan Tape (S&amp;P)'!AS30)/30.44,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IFERROR(
        LET(
            is_btl,'Loan Tape (S&amp;P)'!L31="BTL",
            seasoning_months,('Control Panel'!$B$10-'Loan Tape (S&amp;P)'!F31)*12,
            threshold_months,VLOOKUP('Control Panel'!$B$6,'Jurisdiction Parameters'!$A:$F,6,FALSE),
            num_borr,'Loan Tape (S&amp;P)'!T31,
            balance,'Loan Tape (S&amp;P)'!B31,
            borr1_inc,'Loan Tape (S&amp;P)'!R31,
            borr2_inc,'Loan Tape (S&amp;P)'!S31,
            total_inc,'Loan Tape (S&amp;P)'!U31,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1" s="21">
        <f>IFERROR(
        IF('Loan Tape (S&amp;P)'!L31="BTL",
            LET(
                rental,'Loan Tape (S&amp;P)'!AV31,
                balance,'Loan Tape (S&amp;P)'!B31,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1" s="21">
        <f>IFERROR(
        IF('Loan Tape (S&amp;P)'!AS31="First",
            INDEX('FF Adj Parameters'!$B$20:$B$22,1),
            IF('Loan Tape (S&amp;P)'!AS31="Second",
                INDEX('FF Adj Parameters'!$B$20:$B$22,2),
                INDEX('FF Adj Parameters'!$B$20:$B$22,3)
            )
        ),
    1)</f>
        <v/>
      </c>
      <c r="K31" s="21">
        <f>IFERROR(
        IF('Loan Tape (S&amp;P)'!AS31&lt;&gt;"First",1.00,
            IF('Loan Tape (S&amp;P)'!M31="Cash-out",
                INDEX('FF Adj Parameters'!$B$26:$B$28,3),
            1.00)
        ),
    1)</f>
        <v/>
      </c>
      <c r="L31" s="21">
        <f>IFERROR(
        LET(
            arr_months,'Loan Tape (S&amp;P)'!AK31,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1" s="21">
        <f>IFERROR(
        IF('Loan Tape (S&amp;P)'!AK31=0,
            LET(
                years,('Control Panel'!$B$10-'Loan Tape (S&amp;P)'!F31)/365.25,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1" s="21">
        <f>IFERROR(
        LET(
            is_btl,'Loan Tape (S&amp;P)'!L31="BTL",
            is_htb,'Loan Tape (S&amp;P)'!Q31="Yes",
            is_ftb,'Loan Tape (S&amp;P)'!AP31="Yes",
            seasoning_months,('Control Panel'!$B$10-'Loan Tape (S&amp;P)'!F31)*12,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1" s="21">
        <f>IF('Loan Tape (S&amp;P)'!Q31="Yes",
        INDEX('FF Adj Parameters'!$B$42:$B$47,2),
    1.00)</f>
        <v/>
      </c>
      <c r="P31" s="21">
        <f>IF('Loan Tape (S&amp;P)'!P31="Yes",
        INDEX('FF Adj Parameters'!$B$42:$B$47,3),
    1.00)</f>
        <v/>
      </c>
      <c r="Q31" s="21">
        <f>IF('Loan Tape (S&amp;P)'!O31="Yes",
        INDEX('FF Adj Parameters'!$B$42:$B$47,4),
    1.00)</f>
        <v/>
      </c>
      <c r="R31" s="21">
        <f>IFERROR(
        LET(
            is_btl,'Loan Tape (S&amp;P)'!L31="BTL",
            is_self_cert,'Loan Tape (S&amp;P)'!AO31="Yes",
            is_performing,'Loan Tape (S&amp;P)'!AK31=0,
            IF(OR(is_btl,NOT(is_self_cert)),1.00,
                IF(is_performing,
                    LET(
                        months,('Control Panel'!$B$10-'Loan Tape (S&amp;P)'!F31)*12,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1" s="21">
        <f>IF('Loan Tape (S&amp;P)'!Q31="Yes",1.00,
        IF('Loan Tape (S&amp;P)'!AQ31="Yes",
            INDEX('FF Adj Parameters'!$B$42:$B$47,5),
        1.00))</f>
        <v/>
      </c>
      <c r="T31" s="21">
        <f>IFERROR(
        IF('Loan Tape (S&amp;P)'!N31&lt;&gt;"Interest Only",1.00,
            IF('Loan Tape (S&amp;P)'!L31="BTL",1.00,
                LET(
                    years_to_mat,('Loan Tape (S&amp;P)'!G31-'Control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1" s="21">
        <f>IF('Loan Tape (S&amp;P)'!L31="BTL",1.00,
        IF('Loan Tape (S&amp;P)'!X31="Yes",
            INDEX('FF Adj Parameters'!$B$58:$B$58,1),
        1.00))</f>
        <v/>
      </c>
      <c r="V31" s="21">
        <f>IF('Loan Tape (S&amp;P)'!AU31="Yes",
        INDEX('FF Adj Parameters'!$B$42:$B$47,6),
    1.00)</f>
        <v/>
      </c>
      <c r="W31" s="23">
        <f>IFERROR(
        LET(
            ccj_count,'Loan Tape (S&amp;P)'!AD31,
            ccj_value,'Loan Tape (S&amp;P)'!AG31,
            ccj_date,'Loan Tape (S&amp;P)'!AH31,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1" s="21">
        <f>1.00</f>
        <v/>
      </c>
      <c r="Y31" s="21">
        <f>IFERROR(
        IF('Loan Tape (S&amp;P)'!AR31="Yes",
            LET(
                months_since,('Control Panel'!$B$10-'Loan Tape (S&amp;P)'!AS31)/30.44,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IFERROR(
        LET(
            is_btl,'Loan Tape (S&amp;P)'!L32="BTL",
            seasoning_months,('Control Panel'!$B$10-'Loan Tape (S&amp;P)'!F32)*12,
            threshold_months,VLOOKUP('Control Panel'!$B$6,'Jurisdiction Parameters'!$A:$F,6,FALSE),
            num_borr,'Loan Tape (S&amp;P)'!T32,
            balance,'Loan Tape (S&amp;P)'!B32,
            borr1_inc,'Loan Tape (S&amp;P)'!R32,
            borr2_inc,'Loan Tape (S&amp;P)'!S32,
            total_inc,'Loan Tape (S&amp;P)'!U32,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2" s="21">
        <f>IFERROR(
        IF('Loan Tape (S&amp;P)'!L32="BTL",
            LET(
                rental,'Loan Tape (S&amp;P)'!AV32,
                balance,'Loan Tape (S&amp;P)'!B32,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2" s="21">
        <f>IFERROR(
        IF('Loan Tape (S&amp;P)'!AS32="First",
            INDEX('FF Adj Parameters'!$B$20:$B$22,1),
            IF('Loan Tape (S&amp;P)'!AS32="Second",
                INDEX('FF Adj Parameters'!$B$20:$B$22,2),
                INDEX('FF Adj Parameters'!$B$20:$B$22,3)
            )
        ),
    1)</f>
        <v/>
      </c>
      <c r="K32" s="21">
        <f>IFERROR(
        IF('Loan Tape (S&amp;P)'!AS32&lt;&gt;"First",1.00,
            IF('Loan Tape (S&amp;P)'!M32="Cash-out",
                INDEX('FF Adj Parameters'!$B$26:$B$28,3),
            1.00)
        ),
    1)</f>
        <v/>
      </c>
      <c r="L32" s="21">
        <f>IFERROR(
        LET(
            arr_months,'Loan Tape (S&amp;P)'!AK32,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2" s="21">
        <f>IFERROR(
        IF('Loan Tape (S&amp;P)'!AK32=0,
            LET(
                years,('Control Panel'!$B$10-'Loan Tape (S&amp;P)'!F32)/365.25,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2" s="21">
        <f>IFERROR(
        LET(
            is_btl,'Loan Tape (S&amp;P)'!L32="BTL",
            is_htb,'Loan Tape (S&amp;P)'!Q32="Yes",
            is_ftb,'Loan Tape (S&amp;P)'!AP32="Yes",
            seasoning_months,('Control Panel'!$B$10-'Loan Tape (S&amp;P)'!F32)*12,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2" s="21">
        <f>IF('Loan Tape (S&amp;P)'!Q32="Yes",
        INDEX('FF Adj Parameters'!$B$42:$B$47,2),
    1.00)</f>
        <v/>
      </c>
      <c r="P32" s="21">
        <f>IF('Loan Tape (S&amp;P)'!P32="Yes",
        INDEX('FF Adj Parameters'!$B$42:$B$47,3),
    1.00)</f>
        <v/>
      </c>
      <c r="Q32" s="21">
        <f>IF('Loan Tape (S&amp;P)'!O32="Yes",
        INDEX('FF Adj Parameters'!$B$42:$B$47,4),
    1.00)</f>
        <v/>
      </c>
      <c r="R32" s="21">
        <f>IFERROR(
        LET(
            is_btl,'Loan Tape (S&amp;P)'!L32="BTL",
            is_self_cert,'Loan Tape (S&amp;P)'!AO32="Yes",
            is_performing,'Loan Tape (S&amp;P)'!AK32=0,
            IF(OR(is_btl,NOT(is_self_cert)),1.00,
                IF(is_performing,
                    LET(
                        months,('Control Panel'!$B$10-'Loan Tape (S&amp;P)'!F32)*12,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2" s="21">
        <f>IF('Loan Tape (S&amp;P)'!Q32="Yes",1.00,
        IF('Loan Tape (S&amp;P)'!AQ32="Yes",
            INDEX('FF Adj Parameters'!$B$42:$B$47,5),
        1.00))</f>
        <v/>
      </c>
      <c r="T32" s="21">
        <f>IFERROR(
        IF('Loan Tape (S&amp;P)'!N32&lt;&gt;"Interest Only",1.00,
            IF('Loan Tape (S&amp;P)'!L32="BTL",1.00,
                LET(
                    years_to_mat,('Loan Tape (S&amp;P)'!G32-'Control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2" s="21">
        <f>IF('Loan Tape (S&amp;P)'!L32="BTL",1.00,
        IF('Loan Tape (S&amp;P)'!X32="Yes",
            INDEX('FF Adj Parameters'!$B$58:$B$58,1),
        1.00))</f>
        <v/>
      </c>
      <c r="V32" s="21">
        <f>IF('Loan Tape (S&amp;P)'!AU32="Yes",
        INDEX('FF Adj Parameters'!$B$42:$B$47,6),
    1.00)</f>
        <v/>
      </c>
      <c r="W32" s="23">
        <f>IFERROR(
        LET(
            ccj_count,'Loan Tape (S&amp;P)'!AD32,
            ccj_value,'Loan Tape (S&amp;P)'!AG32,
            ccj_date,'Loan Tape (S&amp;P)'!AH32,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2" s="21">
        <f>1.00</f>
        <v/>
      </c>
      <c r="Y32" s="21">
        <f>IFERROR(
        IF('Loan Tape (S&amp;P)'!AR32="Yes",
            LET(
                months_since,('Control Panel'!$B$10-'Loan Tape (S&amp;P)'!AS32)/30.44,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IFERROR(
        LET(
            is_btl,'Loan Tape (S&amp;P)'!L33="BTL",
            seasoning_months,('Control Panel'!$B$10-'Loan Tape (S&amp;P)'!F33)*12,
            threshold_months,VLOOKUP('Control Panel'!$B$6,'Jurisdiction Parameters'!$A:$F,6,FALSE),
            num_borr,'Loan Tape (S&amp;P)'!T33,
            balance,'Loan Tape (S&amp;P)'!B33,
            borr1_inc,'Loan Tape (S&amp;P)'!R33,
            borr2_inc,'Loan Tape (S&amp;P)'!S33,
            total_inc,'Loan Tape (S&amp;P)'!U33,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3" s="21">
        <f>IFERROR(
        IF('Loan Tape (S&amp;P)'!L33="BTL",
            LET(
                rental,'Loan Tape (S&amp;P)'!AV33,
                balance,'Loan Tape (S&amp;P)'!B33,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3" s="21">
        <f>IFERROR(
        IF('Loan Tape (S&amp;P)'!AS33="First",
            INDEX('FF Adj Parameters'!$B$20:$B$22,1),
            IF('Loan Tape (S&amp;P)'!AS33="Second",
                INDEX('FF Adj Parameters'!$B$20:$B$22,2),
                INDEX('FF Adj Parameters'!$B$20:$B$22,3)
            )
        ),
    1)</f>
        <v/>
      </c>
      <c r="K33" s="21">
        <f>IFERROR(
        IF('Loan Tape (S&amp;P)'!AS33&lt;&gt;"First",1.00,
            IF('Loan Tape (S&amp;P)'!M33="Cash-out",
                INDEX('FF Adj Parameters'!$B$26:$B$28,3),
            1.00)
        ),
    1)</f>
        <v/>
      </c>
      <c r="L33" s="21">
        <f>IFERROR(
        LET(
            arr_months,'Loan Tape (S&amp;P)'!AK33,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3" s="21">
        <f>IFERROR(
        IF('Loan Tape (S&amp;P)'!AK33=0,
            LET(
                years,('Control Panel'!$B$10-'Loan Tape (S&amp;P)'!F33)/365.25,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3" s="21">
        <f>IFERROR(
        LET(
            is_btl,'Loan Tape (S&amp;P)'!L33="BTL",
            is_htb,'Loan Tape (S&amp;P)'!Q33="Yes",
            is_ftb,'Loan Tape (S&amp;P)'!AP33="Yes",
            seasoning_months,('Control Panel'!$B$10-'Loan Tape (S&amp;P)'!F33)*12,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3" s="21">
        <f>IF('Loan Tape (S&amp;P)'!Q33="Yes",
        INDEX('FF Adj Parameters'!$B$42:$B$47,2),
    1.00)</f>
        <v/>
      </c>
      <c r="P33" s="21">
        <f>IF('Loan Tape (S&amp;P)'!P33="Yes",
        INDEX('FF Adj Parameters'!$B$42:$B$47,3),
    1.00)</f>
        <v/>
      </c>
      <c r="Q33" s="21">
        <f>IF('Loan Tape (S&amp;P)'!O33="Yes",
        INDEX('FF Adj Parameters'!$B$42:$B$47,4),
    1.00)</f>
        <v/>
      </c>
      <c r="R33" s="21">
        <f>IFERROR(
        LET(
            is_btl,'Loan Tape (S&amp;P)'!L33="BTL",
            is_self_cert,'Loan Tape (S&amp;P)'!AO33="Yes",
            is_performing,'Loan Tape (S&amp;P)'!AK33=0,
            IF(OR(is_btl,NOT(is_self_cert)),1.00,
                IF(is_performing,
                    LET(
                        months,('Control Panel'!$B$10-'Loan Tape (S&amp;P)'!F33)*12,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3" s="21">
        <f>IF('Loan Tape (S&amp;P)'!Q33="Yes",1.00,
        IF('Loan Tape (S&amp;P)'!AQ33="Yes",
            INDEX('FF Adj Parameters'!$B$42:$B$47,5),
        1.00))</f>
        <v/>
      </c>
      <c r="T33" s="21">
        <f>IFERROR(
        IF('Loan Tape (S&amp;P)'!N33&lt;&gt;"Interest Only",1.00,
            IF('Loan Tape (S&amp;P)'!L33="BTL",1.00,
                LET(
                    years_to_mat,('Loan Tape (S&amp;P)'!G33-'Control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3" s="21">
        <f>IF('Loan Tape (S&amp;P)'!L33="BTL",1.00,
        IF('Loan Tape (S&amp;P)'!X33="Yes",
            INDEX('FF Adj Parameters'!$B$58:$B$58,1),
        1.00))</f>
        <v/>
      </c>
      <c r="V33" s="21">
        <f>IF('Loan Tape (S&amp;P)'!AU33="Yes",
        INDEX('FF Adj Parameters'!$B$42:$B$47,6),
    1.00)</f>
        <v/>
      </c>
      <c r="W33" s="23">
        <f>IFERROR(
        LET(
            ccj_count,'Loan Tape (S&amp;P)'!AD33,
            ccj_value,'Loan Tape (S&amp;P)'!AG33,
            ccj_date,'Loan Tape (S&amp;P)'!AH33,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3" s="21">
        <f>1.00</f>
        <v/>
      </c>
      <c r="Y33" s="21">
        <f>IFERROR(
        IF('Loan Tape (S&amp;P)'!AR33="Yes",
            LET(
                months_since,('Control Panel'!$B$10-'Loan Tape (S&amp;P)'!AS33)/30.44,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IFERROR(
        LET(
            is_btl,'Loan Tape (S&amp;P)'!L34="BTL",
            seasoning_months,('Control Panel'!$B$10-'Loan Tape (S&amp;P)'!F34)*12,
            threshold_months,VLOOKUP('Control Panel'!$B$6,'Jurisdiction Parameters'!$A:$F,6,FALSE),
            num_borr,'Loan Tape (S&amp;P)'!T34,
            balance,'Loan Tape (S&amp;P)'!B34,
            borr1_inc,'Loan Tape (S&amp;P)'!R34,
            borr2_inc,'Loan Tape (S&amp;P)'!S34,
            total_inc,'Loan Tape (S&amp;P)'!U34,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4" s="21">
        <f>IFERROR(
        IF('Loan Tape (S&amp;P)'!L34="BTL",
            LET(
                rental,'Loan Tape (S&amp;P)'!AV34,
                balance,'Loan Tape (S&amp;P)'!B34,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4" s="21">
        <f>IFERROR(
        IF('Loan Tape (S&amp;P)'!AS34="First",
            INDEX('FF Adj Parameters'!$B$20:$B$22,1),
            IF('Loan Tape (S&amp;P)'!AS34="Second",
                INDEX('FF Adj Parameters'!$B$20:$B$22,2),
                INDEX('FF Adj Parameters'!$B$20:$B$22,3)
            )
        ),
    1)</f>
        <v/>
      </c>
      <c r="K34" s="21">
        <f>IFERROR(
        IF('Loan Tape (S&amp;P)'!AS34&lt;&gt;"First",1.00,
            IF('Loan Tape (S&amp;P)'!M34="Cash-out",
                INDEX('FF Adj Parameters'!$B$26:$B$28,3),
            1.00)
        ),
    1)</f>
        <v/>
      </c>
      <c r="L34" s="21">
        <f>IFERROR(
        LET(
            arr_months,'Loan Tape (S&amp;P)'!AK34,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4" s="21">
        <f>IFERROR(
        IF('Loan Tape (S&amp;P)'!AK34=0,
            LET(
                years,('Control Panel'!$B$10-'Loan Tape (S&amp;P)'!F34)/365.25,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4" s="21">
        <f>IFERROR(
        LET(
            is_btl,'Loan Tape (S&amp;P)'!L34="BTL",
            is_htb,'Loan Tape (S&amp;P)'!Q34="Yes",
            is_ftb,'Loan Tape (S&amp;P)'!AP34="Yes",
            seasoning_months,('Control Panel'!$B$10-'Loan Tape (S&amp;P)'!F34)*12,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4" s="21">
        <f>IF('Loan Tape (S&amp;P)'!Q34="Yes",
        INDEX('FF Adj Parameters'!$B$42:$B$47,2),
    1.00)</f>
        <v/>
      </c>
      <c r="P34" s="21">
        <f>IF('Loan Tape (S&amp;P)'!P34="Yes",
        INDEX('FF Adj Parameters'!$B$42:$B$47,3),
    1.00)</f>
        <v/>
      </c>
      <c r="Q34" s="21">
        <f>IF('Loan Tape (S&amp;P)'!O34="Yes",
        INDEX('FF Adj Parameters'!$B$42:$B$47,4),
    1.00)</f>
        <v/>
      </c>
      <c r="R34" s="21">
        <f>IFERROR(
        LET(
            is_btl,'Loan Tape (S&amp;P)'!L34="BTL",
            is_self_cert,'Loan Tape (S&amp;P)'!AO34="Yes",
            is_performing,'Loan Tape (S&amp;P)'!AK34=0,
            IF(OR(is_btl,NOT(is_self_cert)),1.00,
                IF(is_performing,
                    LET(
                        months,('Control Panel'!$B$10-'Loan Tape (S&amp;P)'!F34)*12,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4" s="21">
        <f>IF('Loan Tape (S&amp;P)'!Q34="Yes",1.00,
        IF('Loan Tape (S&amp;P)'!AQ34="Yes",
            INDEX('FF Adj Parameters'!$B$42:$B$47,5),
        1.00))</f>
        <v/>
      </c>
      <c r="T34" s="21">
        <f>IFERROR(
        IF('Loan Tape (S&amp;P)'!N34&lt;&gt;"Interest Only",1.00,
            IF('Loan Tape (S&amp;P)'!L34="BTL",1.00,
                LET(
                    years_to_mat,('Loan Tape (S&amp;P)'!G34-'Control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4" s="21">
        <f>IF('Loan Tape (S&amp;P)'!L34="BTL",1.00,
        IF('Loan Tape (S&amp;P)'!X34="Yes",
            INDEX('FF Adj Parameters'!$B$58:$B$58,1),
        1.00))</f>
        <v/>
      </c>
      <c r="V34" s="21">
        <f>IF('Loan Tape (S&amp;P)'!AU34="Yes",
        INDEX('FF Adj Parameters'!$B$42:$B$47,6),
    1.00)</f>
        <v/>
      </c>
      <c r="W34" s="23">
        <f>IFERROR(
        LET(
            ccj_count,'Loan Tape (S&amp;P)'!AD34,
            ccj_value,'Loan Tape (S&amp;P)'!AG34,
            ccj_date,'Loan Tape (S&amp;P)'!AH34,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4" s="21">
        <f>1.00</f>
        <v/>
      </c>
      <c r="Y34" s="21">
        <f>IFERROR(
        IF('Loan Tape (S&amp;P)'!AR34="Yes",
            LET(
                months_since,('Control Panel'!$B$10-'Loan Tape (S&amp;P)'!AS34)/30.44,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IFERROR(
        LET(
            is_btl,'Loan Tape (S&amp;P)'!L35="BTL",
            seasoning_months,('Control Panel'!$B$10-'Loan Tape (S&amp;P)'!F35)*12,
            threshold_months,VLOOKUP('Control Panel'!$B$6,'Jurisdiction Parameters'!$A:$F,6,FALSE),
            num_borr,'Loan Tape (S&amp;P)'!T35,
            balance,'Loan Tape (S&amp;P)'!B35,
            borr1_inc,'Loan Tape (S&amp;P)'!R35,
            borr2_inc,'Loan Tape (S&amp;P)'!S35,
            total_inc,'Loan Tape (S&amp;P)'!U35,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5" s="21">
        <f>IFERROR(
        IF('Loan Tape (S&amp;P)'!L35="BTL",
            LET(
                rental,'Loan Tape (S&amp;P)'!AV35,
                balance,'Loan Tape (S&amp;P)'!B35,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5" s="21">
        <f>IFERROR(
        IF('Loan Tape (S&amp;P)'!AS35="First",
            INDEX('FF Adj Parameters'!$B$20:$B$22,1),
            IF('Loan Tape (S&amp;P)'!AS35="Second",
                INDEX('FF Adj Parameters'!$B$20:$B$22,2),
                INDEX('FF Adj Parameters'!$B$20:$B$22,3)
            )
        ),
    1)</f>
        <v/>
      </c>
      <c r="K35" s="21">
        <f>IFERROR(
        IF('Loan Tape (S&amp;P)'!AS35&lt;&gt;"First",1.00,
            IF('Loan Tape (S&amp;P)'!M35="Cash-out",
                INDEX('FF Adj Parameters'!$B$26:$B$28,3),
            1.00)
        ),
    1)</f>
        <v/>
      </c>
      <c r="L35" s="21">
        <f>IFERROR(
        LET(
            arr_months,'Loan Tape (S&amp;P)'!AK35,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5" s="21">
        <f>IFERROR(
        IF('Loan Tape (S&amp;P)'!AK35=0,
            LET(
                years,('Control Panel'!$B$10-'Loan Tape (S&amp;P)'!F35)/365.25,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5" s="21">
        <f>IFERROR(
        LET(
            is_btl,'Loan Tape (S&amp;P)'!L35="BTL",
            is_htb,'Loan Tape (S&amp;P)'!Q35="Yes",
            is_ftb,'Loan Tape (S&amp;P)'!AP35="Yes",
            seasoning_months,('Control Panel'!$B$10-'Loan Tape (S&amp;P)'!F35)*12,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5" s="21">
        <f>IF('Loan Tape (S&amp;P)'!Q35="Yes",
        INDEX('FF Adj Parameters'!$B$42:$B$47,2),
    1.00)</f>
        <v/>
      </c>
      <c r="P35" s="21">
        <f>IF('Loan Tape (S&amp;P)'!P35="Yes",
        INDEX('FF Adj Parameters'!$B$42:$B$47,3),
    1.00)</f>
        <v/>
      </c>
      <c r="Q35" s="21">
        <f>IF('Loan Tape (S&amp;P)'!O35="Yes",
        INDEX('FF Adj Parameters'!$B$42:$B$47,4),
    1.00)</f>
        <v/>
      </c>
      <c r="R35" s="21">
        <f>IFERROR(
        LET(
            is_btl,'Loan Tape (S&amp;P)'!L35="BTL",
            is_self_cert,'Loan Tape (S&amp;P)'!AO35="Yes",
            is_performing,'Loan Tape (S&amp;P)'!AK35=0,
            IF(OR(is_btl,NOT(is_self_cert)),1.00,
                IF(is_performing,
                    LET(
                        months,('Control Panel'!$B$10-'Loan Tape (S&amp;P)'!F35)*12,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5" s="21">
        <f>IF('Loan Tape (S&amp;P)'!Q35="Yes",1.00,
        IF('Loan Tape (S&amp;P)'!AQ35="Yes",
            INDEX('FF Adj Parameters'!$B$42:$B$47,5),
        1.00))</f>
        <v/>
      </c>
      <c r="T35" s="21">
        <f>IFERROR(
        IF('Loan Tape (S&amp;P)'!N35&lt;&gt;"Interest Only",1.00,
            IF('Loan Tape (S&amp;P)'!L35="BTL",1.00,
                LET(
                    years_to_mat,('Loan Tape (S&amp;P)'!G35-'Control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5" s="21">
        <f>IF('Loan Tape (S&amp;P)'!L35="BTL",1.00,
        IF('Loan Tape (S&amp;P)'!X35="Yes",
            INDEX('FF Adj Parameters'!$B$58:$B$58,1),
        1.00))</f>
        <v/>
      </c>
      <c r="V35" s="21">
        <f>IF('Loan Tape (S&amp;P)'!AU35="Yes",
        INDEX('FF Adj Parameters'!$B$42:$B$47,6),
    1.00)</f>
        <v/>
      </c>
      <c r="W35" s="23">
        <f>IFERROR(
        LET(
            ccj_count,'Loan Tape (S&amp;P)'!AD35,
            ccj_value,'Loan Tape (S&amp;P)'!AG35,
            ccj_date,'Loan Tape (S&amp;P)'!AH35,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5" s="21">
        <f>1.00</f>
        <v/>
      </c>
      <c r="Y35" s="21">
        <f>IFERROR(
        IF('Loan Tape (S&amp;P)'!AR35="Yes",
            LET(
                months_since,('Control Panel'!$B$10-'Loan Tape (S&amp;P)'!AS35)/30.44,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IFERROR(
        LET(
            is_btl,'Loan Tape (S&amp;P)'!L36="BTL",
            seasoning_months,('Control Panel'!$B$10-'Loan Tape (S&amp;P)'!F36)*12,
            threshold_months,VLOOKUP('Control Panel'!$B$6,'Jurisdiction Parameters'!$A:$F,6,FALSE),
            num_borr,'Loan Tape (S&amp;P)'!T36,
            balance,'Loan Tape (S&amp;P)'!B36,
            borr1_inc,'Loan Tape (S&amp;P)'!R36,
            borr2_inc,'Loan Tape (S&amp;P)'!S36,
            total_inc,'Loan Tape (S&amp;P)'!U36,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6" s="21">
        <f>IFERROR(
        IF('Loan Tape (S&amp;P)'!L36="BTL",
            LET(
                rental,'Loan Tape (S&amp;P)'!AV36,
                balance,'Loan Tape (S&amp;P)'!B36,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6" s="21">
        <f>IFERROR(
        IF('Loan Tape (S&amp;P)'!AS36="First",
            INDEX('FF Adj Parameters'!$B$20:$B$22,1),
            IF('Loan Tape (S&amp;P)'!AS36="Second",
                INDEX('FF Adj Parameters'!$B$20:$B$22,2),
                INDEX('FF Adj Parameters'!$B$20:$B$22,3)
            )
        ),
    1)</f>
        <v/>
      </c>
      <c r="K36" s="21">
        <f>IFERROR(
        IF('Loan Tape (S&amp;P)'!AS36&lt;&gt;"First",1.00,
            IF('Loan Tape (S&amp;P)'!M36="Cash-out",
                INDEX('FF Adj Parameters'!$B$26:$B$28,3),
            1.00)
        ),
    1)</f>
        <v/>
      </c>
      <c r="L36" s="21">
        <f>IFERROR(
        LET(
            arr_months,'Loan Tape (S&amp;P)'!AK36,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6" s="21">
        <f>IFERROR(
        IF('Loan Tape (S&amp;P)'!AK36=0,
            LET(
                years,('Control Panel'!$B$10-'Loan Tape (S&amp;P)'!F36)/365.25,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6" s="21">
        <f>IFERROR(
        LET(
            is_btl,'Loan Tape (S&amp;P)'!L36="BTL",
            is_htb,'Loan Tape (S&amp;P)'!Q36="Yes",
            is_ftb,'Loan Tape (S&amp;P)'!AP36="Yes",
            seasoning_months,('Control Panel'!$B$10-'Loan Tape (S&amp;P)'!F36)*12,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6" s="21">
        <f>IF('Loan Tape (S&amp;P)'!Q36="Yes",
        INDEX('FF Adj Parameters'!$B$42:$B$47,2),
    1.00)</f>
        <v/>
      </c>
      <c r="P36" s="21">
        <f>IF('Loan Tape (S&amp;P)'!P36="Yes",
        INDEX('FF Adj Parameters'!$B$42:$B$47,3),
    1.00)</f>
        <v/>
      </c>
      <c r="Q36" s="21">
        <f>IF('Loan Tape (S&amp;P)'!O36="Yes",
        INDEX('FF Adj Parameters'!$B$42:$B$47,4),
    1.00)</f>
        <v/>
      </c>
      <c r="R36" s="21">
        <f>IFERROR(
        LET(
            is_btl,'Loan Tape (S&amp;P)'!L36="BTL",
            is_self_cert,'Loan Tape (S&amp;P)'!AO36="Yes",
            is_performing,'Loan Tape (S&amp;P)'!AK36=0,
            IF(OR(is_btl,NOT(is_self_cert)),1.00,
                IF(is_performing,
                    LET(
                        months,('Control Panel'!$B$10-'Loan Tape (S&amp;P)'!F36)*12,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6" s="21">
        <f>IF('Loan Tape (S&amp;P)'!Q36="Yes",1.00,
        IF('Loan Tape (S&amp;P)'!AQ36="Yes",
            INDEX('FF Adj Parameters'!$B$42:$B$47,5),
        1.00))</f>
        <v/>
      </c>
      <c r="T36" s="21">
        <f>IFERROR(
        IF('Loan Tape (S&amp;P)'!N36&lt;&gt;"Interest Only",1.00,
            IF('Loan Tape (S&amp;P)'!L36="BTL",1.00,
                LET(
                    years_to_mat,('Loan Tape (S&amp;P)'!G36-'Control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6" s="21">
        <f>IF('Loan Tape (S&amp;P)'!L36="BTL",1.00,
        IF('Loan Tape (S&amp;P)'!X36="Yes",
            INDEX('FF Adj Parameters'!$B$58:$B$58,1),
        1.00))</f>
        <v/>
      </c>
      <c r="V36" s="21">
        <f>IF('Loan Tape (S&amp;P)'!AU36="Yes",
        INDEX('FF Adj Parameters'!$B$42:$B$47,6),
    1.00)</f>
        <v/>
      </c>
      <c r="W36" s="23">
        <f>IFERROR(
        LET(
            ccj_count,'Loan Tape (S&amp;P)'!AD36,
            ccj_value,'Loan Tape (S&amp;P)'!AG36,
            ccj_date,'Loan Tape (S&amp;P)'!AH36,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6" s="21">
        <f>1.00</f>
        <v/>
      </c>
      <c r="Y36" s="21">
        <f>IFERROR(
        IF('Loan Tape (S&amp;P)'!AR36="Yes",
            LET(
                months_since,('Control Panel'!$B$10-'Loan Tape (S&amp;P)'!AS36)/30.44,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IFERROR(
        LET(
            is_btl,'Loan Tape (S&amp;P)'!L37="BTL",
            seasoning_months,('Control Panel'!$B$10-'Loan Tape (S&amp;P)'!F37)*12,
            threshold_months,VLOOKUP('Control Panel'!$B$6,'Jurisdiction Parameters'!$A:$F,6,FALSE),
            num_borr,'Loan Tape (S&amp;P)'!T37,
            balance,'Loan Tape (S&amp;P)'!B37,
            borr1_inc,'Loan Tape (S&amp;P)'!R37,
            borr2_inc,'Loan Tape (S&amp;P)'!S37,
            total_inc,'Loan Tape (S&amp;P)'!U37,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7" s="21">
        <f>IFERROR(
        IF('Loan Tape (S&amp;P)'!L37="BTL",
            LET(
                rental,'Loan Tape (S&amp;P)'!AV37,
                balance,'Loan Tape (S&amp;P)'!B37,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7" s="21">
        <f>IFERROR(
        IF('Loan Tape (S&amp;P)'!AS37="First",
            INDEX('FF Adj Parameters'!$B$20:$B$22,1),
            IF('Loan Tape (S&amp;P)'!AS37="Second",
                INDEX('FF Adj Parameters'!$B$20:$B$22,2),
                INDEX('FF Adj Parameters'!$B$20:$B$22,3)
            )
        ),
    1)</f>
        <v/>
      </c>
      <c r="K37" s="21">
        <f>IFERROR(
        IF('Loan Tape (S&amp;P)'!AS37&lt;&gt;"First",1.00,
            IF('Loan Tape (S&amp;P)'!M37="Cash-out",
                INDEX('FF Adj Parameters'!$B$26:$B$28,3),
            1.00)
        ),
    1)</f>
        <v/>
      </c>
      <c r="L37" s="21">
        <f>IFERROR(
        LET(
            arr_months,'Loan Tape (S&amp;P)'!AK37,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7" s="21">
        <f>IFERROR(
        IF('Loan Tape (S&amp;P)'!AK37=0,
            LET(
                years,('Control Panel'!$B$10-'Loan Tape (S&amp;P)'!F37)/365.25,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7" s="21">
        <f>IFERROR(
        LET(
            is_btl,'Loan Tape (S&amp;P)'!L37="BTL",
            is_htb,'Loan Tape (S&amp;P)'!Q37="Yes",
            is_ftb,'Loan Tape (S&amp;P)'!AP37="Yes",
            seasoning_months,('Control Panel'!$B$10-'Loan Tape (S&amp;P)'!F37)*12,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7" s="21">
        <f>IF('Loan Tape (S&amp;P)'!Q37="Yes",
        INDEX('FF Adj Parameters'!$B$42:$B$47,2),
    1.00)</f>
        <v/>
      </c>
      <c r="P37" s="21">
        <f>IF('Loan Tape (S&amp;P)'!P37="Yes",
        INDEX('FF Adj Parameters'!$B$42:$B$47,3),
    1.00)</f>
        <v/>
      </c>
      <c r="Q37" s="21">
        <f>IF('Loan Tape (S&amp;P)'!O37="Yes",
        INDEX('FF Adj Parameters'!$B$42:$B$47,4),
    1.00)</f>
        <v/>
      </c>
      <c r="R37" s="21">
        <f>IFERROR(
        LET(
            is_btl,'Loan Tape (S&amp;P)'!L37="BTL",
            is_self_cert,'Loan Tape (S&amp;P)'!AO37="Yes",
            is_performing,'Loan Tape (S&amp;P)'!AK37=0,
            IF(OR(is_btl,NOT(is_self_cert)),1.00,
                IF(is_performing,
                    LET(
                        months,('Control Panel'!$B$10-'Loan Tape (S&amp;P)'!F37)*12,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7" s="21">
        <f>IF('Loan Tape (S&amp;P)'!Q37="Yes",1.00,
        IF('Loan Tape (S&amp;P)'!AQ37="Yes",
            INDEX('FF Adj Parameters'!$B$42:$B$47,5),
        1.00))</f>
        <v/>
      </c>
      <c r="T37" s="21">
        <f>IFERROR(
        IF('Loan Tape (S&amp;P)'!N37&lt;&gt;"Interest Only",1.00,
            IF('Loan Tape (S&amp;P)'!L37="BTL",1.00,
                LET(
                    years_to_mat,('Loan Tape (S&amp;P)'!G37-'Control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7" s="21">
        <f>IF('Loan Tape (S&amp;P)'!L37="BTL",1.00,
        IF('Loan Tape (S&amp;P)'!X37="Yes",
            INDEX('FF Adj Parameters'!$B$58:$B$58,1),
        1.00))</f>
        <v/>
      </c>
      <c r="V37" s="21">
        <f>IF('Loan Tape (S&amp;P)'!AU37="Yes",
        INDEX('FF Adj Parameters'!$B$42:$B$47,6),
    1.00)</f>
        <v/>
      </c>
      <c r="W37" s="23">
        <f>IFERROR(
        LET(
            ccj_count,'Loan Tape (S&amp;P)'!AD37,
            ccj_value,'Loan Tape (S&amp;P)'!AG37,
            ccj_date,'Loan Tape (S&amp;P)'!AH37,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7" s="21">
        <f>1.00</f>
        <v/>
      </c>
      <c r="Y37" s="21">
        <f>IFERROR(
        IF('Loan Tape (S&amp;P)'!AR37="Yes",
            LET(
                months_since,('Control Panel'!$B$10-'Loan Tape (S&amp;P)'!AS37)/30.44,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IFERROR(
        LET(
            is_btl,'Loan Tape (S&amp;P)'!L38="BTL",
            seasoning_months,('Control Panel'!$B$10-'Loan Tape (S&amp;P)'!F38)*12,
            threshold_months,VLOOKUP('Control Panel'!$B$6,'Jurisdiction Parameters'!$A:$F,6,FALSE),
            num_borr,'Loan Tape (S&amp;P)'!T38,
            balance,'Loan Tape (S&amp;P)'!B38,
            borr1_inc,'Loan Tape (S&amp;P)'!R38,
            borr2_inc,'Loan Tape (S&amp;P)'!S38,
            total_inc,'Loan Tape (S&amp;P)'!U38,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8" s="21">
        <f>IFERROR(
        IF('Loan Tape (S&amp;P)'!L38="BTL",
            LET(
                rental,'Loan Tape (S&amp;P)'!AV38,
                balance,'Loan Tape (S&amp;P)'!B38,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8" s="21">
        <f>IFERROR(
        IF('Loan Tape (S&amp;P)'!AS38="First",
            INDEX('FF Adj Parameters'!$B$20:$B$22,1),
            IF('Loan Tape (S&amp;P)'!AS38="Second",
                INDEX('FF Adj Parameters'!$B$20:$B$22,2),
                INDEX('FF Adj Parameters'!$B$20:$B$22,3)
            )
        ),
    1)</f>
        <v/>
      </c>
      <c r="K38" s="21">
        <f>IFERROR(
        IF('Loan Tape (S&amp;P)'!AS38&lt;&gt;"First",1.00,
            IF('Loan Tape (S&amp;P)'!M38="Cash-out",
                INDEX('FF Adj Parameters'!$B$26:$B$28,3),
            1.00)
        ),
    1)</f>
        <v/>
      </c>
      <c r="L38" s="21">
        <f>IFERROR(
        LET(
            arr_months,'Loan Tape (S&amp;P)'!AK38,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8" s="21">
        <f>IFERROR(
        IF('Loan Tape (S&amp;P)'!AK38=0,
            LET(
                years,('Control Panel'!$B$10-'Loan Tape (S&amp;P)'!F38)/365.25,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8" s="21">
        <f>IFERROR(
        LET(
            is_btl,'Loan Tape (S&amp;P)'!L38="BTL",
            is_htb,'Loan Tape (S&amp;P)'!Q38="Yes",
            is_ftb,'Loan Tape (S&amp;P)'!AP38="Yes",
            seasoning_months,('Control Panel'!$B$10-'Loan Tape (S&amp;P)'!F38)*12,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8" s="21">
        <f>IF('Loan Tape (S&amp;P)'!Q38="Yes",
        INDEX('FF Adj Parameters'!$B$42:$B$47,2),
    1.00)</f>
        <v/>
      </c>
      <c r="P38" s="21">
        <f>IF('Loan Tape (S&amp;P)'!P38="Yes",
        INDEX('FF Adj Parameters'!$B$42:$B$47,3),
    1.00)</f>
        <v/>
      </c>
      <c r="Q38" s="21">
        <f>IF('Loan Tape (S&amp;P)'!O38="Yes",
        INDEX('FF Adj Parameters'!$B$42:$B$47,4),
    1.00)</f>
        <v/>
      </c>
      <c r="R38" s="21">
        <f>IFERROR(
        LET(
            is_btl,'Loan Tape (S&amp;P)'!L38="BTL",
            is_self_cert,'Loan Tape (S&amp;P)'!AO38="Yes",
            is_performing,'Loan Tape (S&amp;P)'!AK38=0,
            IF(OR(is_btl,NOT(is_self_cert)),1.00,
                IF(is_performing,
                    LET(
                        months,('Control Panel'!$B$10-'Loan Tape (S&amp;P)'!F38)*12,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8" s="21">
        <f>IF('Loan Tape (S&amp;P)'!Q38="Yes",1.00,
        IF('Loan Tape (S&amp;P)'!AQ38="Yes",
            INDEX('FF Adj Parameters'!$B$42:$B$47,5),
        1.00))</f>
        <v/>
      </c>
      <c r="T38" s="21">
        <f>IFERROR(
        IF('Loan Tape (S&amp;P)'!N38&lt;&gt;"Interest Only",1.00,
            IF('Loan Tape (S&amp;P)'!L38="BTL",1.00,
                LET(
                    years_to_mat,('Loan Tape (S&amp;P)'!G38-'Control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8" s="21">
        <f>IF('Loan Tape (S&amp;P)'!L38="BTL",1.00,
        IF('Loan Tape (S&amp;P)'!X38="Yes",
            INDEX('FF Adj Parameters'!$B$58:$B$58,1),
        1.00))</f>
        <v/>
      </c>
      <c r="V38" s="21">
        <f>IF('Loan Tape (S&amp;P)'!AU38="Yes",
        INDEX('FF Adj Parameters'!$B$42:$B$47,6),
    1.00)</f>
        <v/>
      </c>
      <c r="W38" s="23">
        <f>IFERROR(
        LET(
            ccj_count,'Loan Tape (S&amp;P)'!AD38,
            ccj_value,'Loan Tape (S&amp;P)'!AG38,
            ccj_date,'Loan Tape (S&amp;P)'!AH38,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8" s="21">
        <f>1.00</f>
        <v/>
      </c>
      <c r="Y38" s="21">
        <f>IFERROR(
        IF('Loan Tape (S&amp;P)'!AR38="Yes",
            LET(
                months_since,('Control Panel'!$B$10-'Loan Tape (S&amp;P)'!AS38)/30.44,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IFERROR(
        LET(
            is_btl,'Loan Tape (S&amp;P)'!L39="BTL",
            seasoning_months,('Control Panel'!$B$10-'Loan Tape (S&amp;P)'!F39)*12,
            threshold_months,VLOOKUP('Control Panel'!$B$6,'Jurisdiction Parameters'!$A:$F,6,FALSE),
            num_borr,'Loan Tape (S&amp;P)'!T39,
            balance,'Loan Tape (S&amp;P)'!B39,
            borr1_inc,'Loan Tape (S&amp;P)'!R39,
            borr2_inc,'Loan Tape (S&amp;P)'!S39,
            total_inc,'Loan Tape (S&amp;P)'!U39,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39" s="21">
        <f>IFERROR(
        IF('Loan Tape (S&amp;P)'!L39="BTL",
            LET(
                rental,'Loan Tape (S&amp;P)'!AV39,
                balance,'Loan Tape (S&amp;P)'!B39,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39" s="21">
        <f>IFERROR(
        IF('Loan Tape (S&amp;P)'!AS39="First",
            INDEX('FF Adj Parameters'!$B$20:$B$22,1),
            IF('Loan Tape (S&amp;P)'!AS39="Second",
                INDEX('FF Adj Parameters'!$B$20:$B$22,2),
                INDEX('FF Adj Parameters'!$B$20:$B$22,3)
            )
        ),
    1)</f>
        <v/>
      </c>
      <c r="K39" s="21">
        <f>IFERROR(
        IF('Loan Tape (S&amp;P)'!AS39&lt;&gt;"First",1.00,
            IF('Loan Tape (S&amp;P)'!M39="Cash-out",
                INDEX('FF Adj Parameters'!$B$26:$B$28,3),
            1.00)
        ),
    1)</f>
        <v/>
      </c>
      <c r="L39" s="21">
        <f>IFERROR(
        LET(
            arr_months,'Loan Tape (S&amp;P)'!AK39,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39" s="21">
        <f>IFERROR(
        IF('Loan Tape (S&amp;P)'!AK39=0,
            LET(
                years,('Control Panel'!$B$10-'Loan Tape (S&amp;P)'!F39)/365.25,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39" s="21">
        <f>IFERROR(
        LET(
            is_btl,'Loan Tape (S&amp;P)'!L39="BTL",
            is_htb,'Loan Tape (S&amp;P)'!Q39="Yes",
            is_ftb,'Loan Tape (S&amp;P)'!AP39="Yes",
            seasoning_months,('Control Panel'!$B$10-'Loan Tape (S&amp;P)'!F39)*12,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39" s="21">
        <f>IF('Loan Tape (S&amp;P)'!Q39="Yes",
        INDEX('FF Adj Parameters'!$B$42:$B$47,2),
    1.00)</f>
        <v/>
      </c>
      <c r="P39" s="21">
        <f>IF('Loan Tape (S&amp;P)'!P39="Yes",
        INDEX('FF Adj Parameters'!$B$42:$B$47,3),
    1.00)</f>
        <v/>
      </c>
      <c r="Q39" s="21">
        <f>IF('Loan Tape (S&amp;P)'!O39="Yes",
        INDEX('FF Adj Parameters'!$B$42:$B$47,4),
    1.00)</f>
        <v/>
      </c>
      <c r="R39" s="21">
        <f>IFERROR(
        LET(
            is_btl,'Loan Tape (S&amp;P)'!L39="BTL",
            is_self_cert,'Loan Tape (S&amp;P)'!AO39="Yes",
            is_performing,'Loan Tape (S&amp;P)'!AK39=0,
            IF(OR(is_btl,NOT(is_self_cert)),1.00,
                IF(is_performing,
                    LET(
                        months,('Control Panel'!$B$10-'Loan Tape (S&amp;P)'!F39)*12,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39" s="21">
        <f>IF('Loan Tape (S&amp;P)'!Q39="Yes",1.00,
        IF('Loan Tape (S&amp;P)'!AQ39="Yes",
            INDEX('FF Adj Parameters'!$B$42:$B$47,5),
        1.00))</f>
        <v/>
      </c>
      <c r="T39" s="21">
        <f>IFERROR(
        IF('Loan Tape (S&amp;P)'!N39&lt;&gt;"Interest Only",1.00,
            IF('Loan Tape (S&amp;P)'!L39="BTL",1.00,
                LET(
                    years_to_mat,('Loan Tape (S&amp;P)'!G39-'Control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39" s="21">
        <f>IF('Loan Tape (S&amp;P)'!L39="BTL",1.00,
        IF('Loan Tape (S&amp;P)'!X39="Yes",
            INDEX('FF Adj Parameters'!$B$58:$B$58,1),
        1.00))</f>
        <v/>
      </c>
      <c r="V39" s="21">
        <f>IF('Loan Tape (S&amp;P)'!AU39="Yes",
        INDEX('FF Adj Parameters'!$B$42:$B$47,6),
    1.00)</f>
        <v/>
      </c>
      <c r="W39" s="23">
        <f>IFERROR(
        LET(
            ccj_count,'Loan Tape (S&amp;P)'!AD39,
            ccj_value,'Loan Tape (S&amp;P)'!AG39,
            ccj_date,'Loan Tape (S&amp;P)'!AH39,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39" s="21">
        <f>1.00</f>
        <v/>
      </c>
      <c r="Y39" s="21">
        <f>IFERROR(
        IF('Loan Tape (S&amp;P)'!AR39="Yes",
            LET(
                months_since,('Control Panel'!$B$10-'Loan Tape (S&amp;P)'!AS39)/30.44,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IFERROR(
        LET(
            is_btl,'Loan Tape (S&amp;P)'!L40="BTL",
            seasoning_months,('Control Panel'!$B$10-'Loan Tape (S&amp;P)'!F40)*12,
            threshold_months,VLOOKUP('Control Panel'!$B$6,'Jurisdiction Parameters'!$A:$F,6,FALSE),
            num_borr,'Loan Tape (S&amp;P)'!T40,
            balance,'Loan Tape (S&amp;P)'!B40,
            borr1_inc,'Loan Tape (S&amp;P)'!R40,
            borr2_inc,'Loan Tape (S&amp;P)'!S40,
            total_inc,'Loan Tape (S&amp;P)'!U40,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0" s="21">
        <f>IFERROR(
        IF('Loan Tape (S&amp;P)'!L40="BTL",
            LET(
                rental,'Loan Tape (S&amp;P)'!AV40,
                balance,'Loan Tape (S&amp;P)'!B40,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0" s="21">
        <f>IFERROR(
        IF('Loan Tape (S&amp;P)'!AS40="First",
            INDEX('FF Adj Parameters'!$B$20:$B$22,1),
            IF('Loan Tape (S&amp;P)'!AS40="Second",
                INDEX('FF Adj Parameters'!$B$20:$B$22,2),
                INDEX('FF Adj Parameters'!$B$20:$B$22,3)
            )
        ),
    1)</f>
        <v/>
      </c>
      <c r="K40" s="21">
        <f>IFERROR(
        IF('Loan Tape (S&amp;P)'!AS40&lt;&gt;"First",1.00,
            IF('Loan Tape (S&amp;P)'!M40="Cash-out",
                INDEX('FF Adj Parameters'!$B$26:$B$28,3),
            1.00)
        ),
    1)</f>
        <v/>
      </c>
      <c r="L40" s="21">
        <f>IFERROR(
        LET(
            arr_months,'Loan Tape (S&amp;P)'!AK40,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0" s="21">
        <f>IFERROR(
        IF('Loan Tape (S&amp;P)'!AK40=0,
            LET(
                years,('Control Panel'!$B$10-'Loan Tape (S&amp;P)'!F40)/365.25,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0" s="21">
        <f>IFERROR(
        LET(
            is_btl,'Loan Tape (S&amp;P)'!L40="BTL",
            is_htb,'Loan Tape (S&amp;P)'!Q40="Yes",
            is_ftb,'Loan Tape (S&amp;P)'!AP40="Yes",
            seasoning_months,('Control Panel'!$B$10-'Loan Tape (S&amp;P)'!F40)*12,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0" s="21">
        <f>IF('Loan Tape (S&amp;P)'!Q40="Yes",
        INDEX('FF Adj Parameters'!$B$42:$B$47,2),
    1.00)</f>
        <v/>
      </c>
      <c r="P40" s="21">
        <f>IF('Loan Tape (S&amp;P)'!P40="Yes",
        INDEX('FF Adj Parameters'!$B$42:$B$47,3),
    1.00)</f>
        <v/>
      </c>
      <c r="Q40" s="21">
        <f>IF('Loan Tape (S&amp;P)'!O40="Yes",
        INDEX('FF Adj Parameters'!$B$42:$B$47,4),
    1.00)</f>
        <v/>
      </c>
      <c r="R40" s="21">
        <f>IFERROR(
        LET(
            is_btl,'Loan Tape (S&amp;P)'!L40="BTL",
            is_self_cert,'Loan Tape (S&amp;P)'!AO40="Yes",
            is_performing,'Loan Tape (S&amp;P)'!AK40=0,
            IF(OR(is_btl,NOT(is_self_cert)),1.00,
                IF(is_performing,
                    LET(
                        months,('Control Panel'!$B$10-'Loan Tape (S&amp;P)'!F40)*12,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0" s="21">
        <f>IF('Loan Tape (S&amp;P)'!Q40="Yes",1.00,
        IF('Loan Tape (S&amp;P)'!AQ40="Yes",
            INDEX('FF Adj Parameters'!$B$42:$B$47,5),
        1.00))</f>
        <v/>
      </c>
      <c r="T40" s="21">
        <f>IFERROR(
        IF('Loan Tape (S&amp;P)'!N40&lt;&gt;"Interest Only",1.00,
            IF('Loan Tape (S&amp;P)'!L40="BTL",1.00,
                LET(
                    years_to_mat,('Loan Tape (S&amp;P)'!G40-'Control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0" s="21">
        <f>IF('Loan Tape (S&amp;P)'!L40="BTL",1.00,
        IF('Loan Tape (S&amp;P)'!X40="Yes",
            INDEX('FF Adj Parameters'!$B$58:$B$58,1),
        1.00))</f>
        <v/>
      </c>
      <c r="V40" s="21">
        <f>IF('Loan Tape (S&amp;P)'!AU40="Yes",
        INDEX('FF Adj Parameters'!$B$42:$B$47,6),
    1.00)</f>
        <v/>
      </c>
      <c r="W40" s="23">
        <f>IFERROR(
        LET(
            ccj_count,'Loan Tape (S&amp;P)'!AD40,
            ccj_value,'Loan Tape (S&amp;P)'!AG40,
            ccj_date,'Loan Tape (S&amp;P)'!AH40,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0" s="21">
        <f>1.00</f>
        <v/>
      </c>
      <c r="Y40" s="21">
        <f>IFERROR(
        IF('Loan Tape (S&amp;P)'!AR40="Yes",
            LET(
                months_since,('Control Panel'!$B$10-'Loan Tape (S&amp;P)'!AS40)/30.44,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IFERROR(
        LET(
            is_btl,'Loan Tape (S&amp;P)'!L41="BTL",
            seasoning_months,('Control Panel'!$B$10-'Loan Tape (S&amp;P)'!F41)*12,
            threshold_months,VLOOKUP('Control Panel'!$B$6,'Jurisdiction Parameters'!$A:$F,6,FALSE),
            num_borr,'Loan Tape (S&amp;P)'!T41,
            balance,'Loan Tape (S&amp;P)'!B41,
            borr1_inc,'Loan Tape (S&amp;P)'!R41,
            borr2_inc,'Loan Tape (S&amp;P)'!S41,
            total_inc,'Loan Tape (S&amp;P)'!U41,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1" s="21">
        <f>IFERROR(
        IF('Loan Tape (S&amp;P)'!L41="BTL",
            LET(
                rental,'Loan Tape (S&amp;P)'!AV41,
                balance,'Loan Tape (S&amp;P)'!B41,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1" s="21">
        <f>IFERROR(
        IF('Loan Tape (S&amp;P)'!AS41="First",
            INDEX('FF Adj Parameters'!$B$20:$B$22,1),
            IF('Loan Tape (S&amp;P)'!AS41="Second",
                INDEX('FF Adj Parameters'!$B$20:$B$22,2),
                INDEX('FF Adj Parameters'!$B$20:$B$22,3)
            )
        ),
    1)</f>
        <v/>
      </c>
      <c r="K41" s="21">
        <f>IFERROR(
        IF('Loan Tape (S&amp;P)'!AS41&lt;&gt;"First",1.00,
            IF('Loan Tape (S&amp;P)'!M41="Cash-out",
                INDEX('FF Adj Parameters'!$B$26:$B$28,3),
            1.00)
        ),
    1)</f>
        <v/>
      </c>
      <c r="L41" s="21">
        <f>IFERROR(
        LET(
            arr_months,'Loan Tape (S&amp;P)'!AK41,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1" s="21">
        <f>IFERROR(
        IF('Loan Tape (S&amp;P)'!AK41=0,
            LET(
                years,('Control Panel'!$B$10-'Loan Tape (S&amp;P)'!F41)/365.25,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1" s="21">
        <f>IFERROR(
        LET(
            is_btl,'Loan Tape (S&amp;P)'!L41="BTL",
            is_htb,'Loan Tape (S&amp;P)'!Q41="Yes",
            is_ftb,'Loan Tape (S&amp;P)'!AP41="Yes",
            seasoning_months,('Control Panel'!$B$10-'Loan Tape (S&amp;P)'!F41)*12,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1" s="21">
        <f>IF('Loan Tape (S&amp;P)'!Q41="Yes",
        INDEX('FF Adj Parameters'!$B$42:$B$47,2),
    1.00)</f>
        <v/>
      </c>
      <c r="P41" s="21">
        <f>IF('Loan Tape (S&amp;P)'!P41="Yes",
        INDEX('FF Adj Parameters'!$B$42:$B$47,3),
    1.00)</f>
        <v/>
      </c>
      <c r="Q41" s="21">
        <f>IF('Loan Tape (S&amp;P)'!O41="Yes",
        INDEX('FF Adj Parameters'!$B$42:$B$47,4),
    1.00)</f>
        <v/>
      </c>
      <c r="R41" s="21">
        <f>IFERROR(
        LET(
            is_btl,'Loan Tape (S&amp;P)'!L41="BTL",
            is_self_cert,'Loan Tape (S&amp;P)'!AO41="Yes",
            is_performing,'Loan Tape (S&amp;P)'!AK41=0,
            IF(OR(is_btl,NOT(is_self_cert)),1.00,
                IF(is_performing,
                    LET(
                        months,('Control Panel'!$B$10-'Loan Tape (S&amp;P)'!F41)*12,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1" s="21">
        <f>IF('Loan Tape (S&amp;P)'!Q41="Yes",1.00,
        IF('Loan Tape (S&amp;P)'!AQ41="Yes",
            INDEX('FF Adj Parameters'!$B$42:$B$47,5),
        1.00))</f>
        <v/>
      </c>
      <c r="T41" s="21">
        <f>IFERROR(
        IF('Loan Tape (S&amp;P)'!N41&lt;&gt;"Interest Only",1.00,
            IF('Loan Tape (S&amp;P)'!L41="BTL",1.00,
                LET(
                    years_to_mat,('Loan Tape (S&amp;P)'!G41-'Control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1" s="21">
        <f>IF('Loan Tape (S&amp;P)'!L41="BTL",1.00,
        IF('Loan Tape (S&amp;P)'!X41="Yes",
            INDEX('FF Adj Parameters'!$B$58:$B$58,1),
        1.00))</f>
        <v/>
      </c>
      <c r="V41" s="21">
        <f>IF('Loan Tape (S&amp;P)'!AU41="Yes",
        INDEX('FF Adj Parameters'!$B$42:$B$47,6),
    1.00)</f>
        <v/>
      </c>
      <c r="W41" s="23">
        <f>IFERROR(
        LET(
            ccj_count,'Loan Tape (S&amp;P)'!AD41,
            ccj_value,'Loan Tape (S&amp;P)'!AG41,
            ccj_date,'Loan Tape (S&amp;P)'!AH41,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1" s="21">
        <f>1.00</f>
        <v/>
      </c>
      <c r="Y41" s="21">
        <f>IFERROR(
        IF('Loan Tape (S&amp;P)'!AR41="Yes",
            LET(
                months_since,('Control Panel'!$B$10-'Loan Tape (S&amp;P)'!AS41)/30.44,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IFERROR(
        LET(
            is_btl,'Loan Tape (S&amp;P)'!L42="BTL",
            seasoning_months,('Control Panel'!$B$10-'Loan Tape (S&amp;P)'!F42)*12,
            threshold_months,VLOOKUP('Control Panel'!$B$6,'Jurisdiction Parameters'!$A:$F,6,FALSE),
            num_borr,'Loan Tape (S&amp;P)'!T42,
            balance,'Loan Tape (S&amp;P)'!B42,
            borr1_inc,'Loan Tape (S&amp;P)'!R42,
            borr2_inc,'Loan Tape (S&amp;P)'!S42,
            total_inc,'Loan Tape (S&amp;P)'!U42,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2" s="21">
        <f>IFERROR(
        IF('Loan Tape (S&amp;P)'!L42="BTL",
            LET(
                rental,'Loan Tape (S&amp;P)'!AV42,
                balance,'Loan Tape (S&amp;P)'!B42,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2" s="21">
        <f>IFERROR(
        IF('Loan Tape (S&amp;P)'!AS42="First",
            INDEX('FF Adj Parameters'!$B$20:$B$22,1),
            IF('Loan Tape (S&amp;P)'!AS42="Second",
                INDEX('FF Adj Parameters'!$B$20:$B$22,2),
                INDEX('FF Adj Parameters'!$B$20:$B$22,3)
            )
        ),
    1)</f>
        <v/>
      </c>
      <c r="K42" s="21">
        <f>IFERROR(
        IF('Loan Tape (S&amp;P)'!AS42&lt;&gt;"First",1.00,
            IF('Loan Tape (S&amp;P)'!M42="Cash-out",
                INDEX('FF Adj Parameters'!$B$26:$B$28,3),
            1.00)
        ),
    1)</f>
        <v/>
      </c>
      <c r="L42" s="21">
        <f>IFERROR(
        LET(
            arr_months,'Loan Tape (S&amp;P)'!AK42,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2" s="21">
        <f>IFERROR(
        IF('Loan Tape (S&amp;P)'!AK42=0,
            LET(
                years,('Control Panel'!$B$10-'Loan Tape (S&amp;P)'!F42)/365.25,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2" s="21">
        <f>IFERROR(
        LET(
            is_btl,'Loan Tape (S&amp;P)'!L42="BTL",
            is_htb,'Loan Tape (S&amp;P)'!Q42="Yes",
            is_ftb,'Loan Tape (S&amp;P)'!AP42="Yes",
            seasoning_months,('Control Panel'!$B$10-'Loan Tape (S&amp;P)'!F42)*12,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2" s="21">
        <f>IF('Loan Tape (S&amp;P)'!Q42="Yes",
        INDEX('FF Adj Parameters'!$B$42:$B$47,2),
    1.00)</f>
        <v/>
      </c>
      <c r="P42" s="21">
        <f>IF('Loan Tape (S&amp;P)'!P42="Yes",
        INDEX('FF Adj Parameters'!$B$42:$B$47,3),
    1.00)</f>
        <v/>
      </c>
      <c r="Q42" s="21">
        <f>IF('Loan Tape (S&amp;P)'!O42="Yes",
        INDEX('FF Adj Parameters'!$B$42:$B$47,4),
    1.00)</f>
        <v/>
      </c>
      <c r="R42" s="21">
        <f>IFERROR(
        LET(
            is_btl,'Loan Tape (S&amp;P)'!L42="BTL",
            is_self_cert,'Loan Tape (S&amp;P)'!AO42="Yes",
            is_performing,'Loan Tape (S&amp;P)'!AK42=0,
            IF(OR(is_btl,NOT(is_self_cert)),1.00,
                IF(is_performing,
                    LET(
                        months,('Control Panel'!$B$10-'Loan Tape (S&amp;P)'!F42)*12,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2" s="21">
        <f>IF('Loan Tape (S&amp;P)'!Q42="Yes",1.00,
        IF('Loan Tape (S&amp;P)'!AQ42="Yes",
            INDEX('FF Adj Parameters'!$B$42:$B$47,5),
        1.00))</f>
        <v/>
      </c>
      <c r="T42" s="21">
        <f>IFERROR(
        IF('Loan Tape (S&amp;P)'!N42&lt;&gt;"Interest Only",1.00,
            IF('Loan Tape (S&amp;P)'!L42="BTL",1.00,
                LET(
                    years_to_mat,('Loan Tape (S&amp;P)'!G42-'Control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2" s="21">
        <f>IF('Loan Tape (S&amp;P)'!L42="BTL",1.00,
        IF('Loan Tape (S&amp;P)'!X42="Yes",
            INDEX('FF Adj Parameters'!$B$58:$B$58,1),
        1.00))</f>
        <v/>
      </c>
      <c r="V42" s="21">
        <f>IF('Loan Tape (S&amp;P)'!AU42="Yes",
        INDEX('FF Adj Parameters'!$B$42:$B$47,6),
    1.00)</f>
        <v/>
      </c>
      <c r="W42" s="23">
        <f>IFERROR(
        LET(
            ccj_count,'Loan Tape (S&amp;P)'!AD42,
            ccj_value,'Loan Tape (S&amp;P)'!AG42,
            ccj_date,'Loan Tape (S&amp;P)'!AH42,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2" s="21">
        <f>1.00</f>
        <v/>
      </c>
      <c r="Y42" s="21">
        <f>IFERROR(
        IF('Loan Tape (S&amp;P)'!AR42="Yes",
            LET(
                months_since,('Control Panel'!$B$10-'Loan Tape (S&amp;P)'!AS42)/30.44,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IFERROR(
        LET(
            is_btl,'Loan Tape (S&amp;P)'!L43="BTL",
            seasoning_months,('Control Panel'!$B$10-'Loan Tape (S&amp;P)'!F43)*12,
            threshold_months,VLOOKUP('Control Panel'!$B$6,'Jurisdiction Parameters'!$A:$F,6,FALSE),
            num_borr,'Loan Tape (S&amp;P)'!T43,
            balance,'Loan Tape (S&amp;P)'!B43,
            borr1_inc,'Loan Tape (S&amp;P)'!R43,
            borr2_inc,'Loan Tape (S&amp;P)'!S43,
            total_inc,'Loan Tape (S&amp;P)'!U43,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3" s="21">
        <f>IFERROR(
        IF('Loan Tape (S&amp;P)'!L43="BTL",
            LET(
                rental,'Loan Tape (S&amp;P)'!AV43,
                balance,'Loan Tape (S&amp;P)'!B43,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3" s="21">
        <f>IFERROR(
        IF('Loan Tape (S&amp;P)'!AS43="First",
            INDEX('FF Adj Parameters'!$B$20:$B$22,1),
            IF('Loan Tape (S&amp;P)'!AS43="Second",
                INDEX('FF Adj Parameters'!$B$20:$B$22,2),
                INDEX('FF Adj Parameters'!$B$20:$B$22,3)
            )
        ),
    1)</f>
        <v/>
      </c>
      <c r="K43" s="21">
        <f>IFERROR(
        IF('Loan Tape (S&amp;P)'!AS43&lt;&gt;"First",1.00,
            IF('Loan Tape (S&amp;P)'!M43="Cash-out",
                INDEX('FF Adj Parameters'!$B$26:$B$28,3),
            1.00)
        ),
    1)</f>
        <v/>
      </c>
      <c r="L43" s="21">
        <f>IFERROR(
        LET(
            arr_months,'Loan Tape (S&amp;P)'!AK43,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3" s="21">
        <f>IFERROR(
        IF('Loan Tape (S&amp;P)'!AK43=0,
            LET(
                years,('Control Panel'!$B$10-'Loan Tape (S&amp;P)'!F43)/365.25,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3" s="21">
        <f>IFERROR(
        LET(
            is_btl,'Loan Tape (S&amp;P)'!L43="BTL",
            is_htb,'Loan Tape (S&amp;P)'!Q43="Yes",
            is_ftb,'Loan Tape (S&amp;P)'!AP43="Yes",
            seasoning_months,('Control Panel'!$B$10-'Loan Tape (S&amp;P)'!F43)*12,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3" s="21">
        <f>IF('Loan Tape (S&amp;P)'!Q43="Yes",
        INDEX('FF Adj Parameters'!$B$42:$B$47,2),
    1.00)</f>
        <v/>
      </c>
      <c r="P43" s="21">
        <f>IF('Loan Tape (S&amp;P)'!P43="Yes",
        INDEX('FF Adj Parameters'!$B$42:$B$47,3),
    1.00)</f>
        <v/>
      </c>
      <c r="Q43" s="21">
        <f>IF('Loan Tape (S&amp;P)'!O43="Yes",
        INDEX('FF Adj Parameters'!$B$42:$B$47,4),
    1.00)</f>
        <v/>
      </c>
      <c r="R43" s="21">
        <f>IFERROR(
        LET(
            is_btl,'Loan Tape (S&amp;P)'!L43="BTL",
            is_self_cert,'Loan Tape (S&amp;P)'!AO43="Yes",
            is_performing,'Loan Tape (S&amp;P)'!AK43=0,
            IF(OR(is_btl,NOT(is_self_cert)),1.00,
                IF(is_performing,
                    LET(
                        months,('Control Panel'!$B$10-'Loan Tape (S&amp;P)'!F43)*12,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3" s="21">
        <f>IF('Loan Tape (S&amp;P)'!Q43="Yes",1.00,
        IF('Loan Tape (S&amp;P)'!AQ43="Yes",
            INDEX('FF Adj Parameters'!$B$42:$B$47,5),
        1.00))</f>
        <v/>
      </c>
      <c r="T43" s="21">
        <f>IFERROR(
        IF('Loan Tape (S&amp;P)'!N43&lt;&gt;"Interest Only",1.00,
            IF('Loan Tape (S&amp;P)'!L43="BTL",1.00,
                LET(
                    years_to_mat,('Loan Tape (S&amp;P)'!G43-'Control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3" s="21">
        <f>IF('Loan Tape (S&amp;P)'!L43="BTL",1.00,
        IF('Loan Tape (S&amp;P)'!X43="Yes",
            INDEX('FF Adj Parameters'!$B$58:$B$58,1),
        1.00))</f>
        <v/>
      </c>
      <c r="V43" s="21">
        <f>IF('Loan Tape (S&amp;P)'!AU43="Yes",
        INDEX('FF Adj Parameters'!$B$42:$B$47,6),
    1.00)</f>
        <v/>
      </c>
      <c r="W43" s="23">
        <f>IFERROR(
        LET(
            ccj_count,'Loan Tape (S&amp;P)'!AD43,
            ccj_value,'Loan Tape (S&amp;P)'!AG43,
            ccj_date,'Loan Tape (S&amp;P)'!AH43,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3" s="21">
        <f>1.00</f>
        <v/>
      </c>
      <c r="Y43" s="21">
        <f>IFERROR(
        IF('Loan Tape (S&amp;P)'!AR43="Yes",
            LET(
                months_since,('Control Panel'!$B$10-'Loan Tape (S&amp;P)'!AS43)/30.44,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IFERROR(
        LET(
            is_btl,'Loan Tape (S&amp;P)'!L44="BTL",
            seasoning_months,('Control Panel'!$B$10-'Loan Tape (S&amp;P)'!F44)*12,
            threshold_months,VLOOKUP('Control Panel'!$B$6,'Jurisdiction Parameters'!$A:$F,6,FALSE),
            num_borr,'Loan Tape (S&amp;P)'!T44,
            balance,'Loan Tape (S&amp;P)'!B44,
            borr1_inc,'Loan Tape (S&amp;P)'!R44,
            borr2_inc,'Loan Tape (S&amp;P)'!S44,
            total_inc,'Loan Tape (S&amp;P)'!U44,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4" s="21">
        <f>IFERROR(
        IF('Loan Tape (S&amp;P)'!L44="BTL",
            LET(
                rental,'Loan Tape (S&amp;P)'!AV44,
                balance,'Loan Tape (S&amp;P)'!B44,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4" s="21">
        <f>IFERROR(
        IF('Loan Tape (S&amp;P)'!AS44="First",
            INDEX('FF Adj Parameters'!$B$20:$B$22,1),
            IF('Loan Tape (S&amp;P)'!AS44="Second",
                INDEX('FF Adj Parameters'!$B$20:$B$22,2),
                INDEX('FF Adj Parameters'!$B$20:$B$22,3)
            )
        ),
    1)</f>
        <v/>
      </c>
      <c r="K44" s="21">
        <f>IFERROR(
        IF('Loan Tape (S&amp;P)'!AS44&lt;&gt;"First",1.00,
            IF('Loan Tape (S&amp;P)'!M44="Cash-out",
                INDEX('FF Adj Parameters'!$B$26:$B$28,3),
            1.00)
        ),
    1)</f>
        <v/>
      </c>
      <c r="L44" s="21">
        <f>IFERROR(
        LET(
            arr_months,'Loan Tape (S&amp;P)'!AK44,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4" s="21">
        <f>IFERROR(
        IF('Loan Tape (S&amp;P)'!AK44=0,
            LET(
                years,('Control Panel'!$B$10-'Loan Tape (S&amp;P)'!F44)/365.25,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4" s="21">
        <f>IFERROR(
        LET(
            is_btl,'Loan Tape (S&amp;P)'!L44="BTL",
            is_htb,'Loan Tape (S&amp;P)'!Q44="Yes",
            is_ftb,'Loan Tape (S&amp;P)'!AP44="Yes",
            seasoning_months,('Control Panel'!$B$10-'Loan Tape (S&amp;P)'!F44)*12,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4" s="21">
        <f>IF('Loan Tape (S&amp;P)'!Q44="Yes",
        INDEX('FF Adj Parameters'!$B$42:$B$47,2),
    1.00)</f>
        <v/>
      </c>
      <c r="P44" s="21">
        <f>IF('Loan Tape (S&amp;P)'!P44="Yes",
        INDEX('FF Adj Parameters'!$B$42:$B$47,3),
    1.00)</f>
        <v/>
      </c>
      <c r="Q44" s="21">
        <f>IF('Loan Tape (S&amp;P)'!O44="Yes",
        INDEX('FF Adj Parameters'!$B$42:$B$47,4),
    1.00)</f>
        <v/>
      </c>
      <c r="R44" s="21">
        <f>IFERROR(
        LET(
            is_btl,'Loan Tape (S&amp;P)'!L44="BTL",
            is_self_cert,'Loan Tape (S&amp;P)'!AO44="Yes",
            is_performing,'Loan Tape (S&amp;P)'!AK44=0,
            IF(OR(is_btl,NOT(is_self_cert)),1.00,
                IF(is_performing,
                    LET(
                        months,('Control Panel'!$B$10-'Loan Tape (S&amp;P)'!F44)*12,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4" s="21">
        <f>IF('Loan Tape (S&amp;P)'!Q44="Yes",1.00,
        IF('Loan Tape (S&amp;P)'!AQ44="Yes",
            INDEX('FF Adj Parameters'!$B$42:$B$47,5),
        1.00))</f>
        <v/>
      </c>
      <c r="T44" s="21">
        <f>IFERROR(
        IF('Loan Tape (S&amp;P)'!N44&lt;&gt;"Interest Only",1.00,
            IF('Loan Tape (S&amp;P)'!L44="BTL",1.00,
                LET(
                    years_to_mat,('Loan Tape (S&amp;P)'!G44-'Control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4" s="21">
        <f>IF('Loan Tape (S&amp;P)'!L44="BTL",1.00,
        IF('Loan Tape (S&amp;P)'!X44="Yes",
            INDEX('FF Adj Parameters'!$B$58:$B$58,1),
        1.00))</f>
        <v/>
      </c>
      <c r="V44" s="21">
        <f>IF('Loan Tape (S&amp;P)'!AU44="Yes",
        INDEX('FF Adj Parameters'!$B$42:$B$47,6),
    1.00)</f>
        <v/>
      </c>
      <c r="W44" s="23">
        <f>IFERROR(
        LET(
            ccj_count,'Loan Tape (S&amp;P)'!AD44,
            ccj_value,'Loan Tape (S&amp;P)'!AG44,
            ccj_date,'Loan Tape (S&amp;P)'!AH44,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4" s="21">
        <f>1.00</f>
        <v/>
      </c>
      <c r="Y44" s="21">
        <f>IFERROR(
        IF('Loan Tape (S&amp;P)'!AR44="Yes",
            LET(
                months_since,('Control Panel'!$B$10-'Loan Tape (S&amp;P)'!AS44)/30.44,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IFERROR(
        LET(
            is_btl,'Loan Tape (S&amp;P)'!L45="BTL",
            seasoning_months,('Control Panel'!$B$10-'Loan Tape (S&amp;P)'!F45)*12,
            threshold_months,VLOOKUP('Control Panel'!$B$6,'Jurisdiction Parameters'!$A:$F,6,FALSE),
            num_borr,'Loan Tape (S&amp;P)'!T45,
            balance,'Loan Tape (S&amp;P)'!B45,
            borr1_inc,'Loan Tape (S&amp;P)'!R45,
            borr2_inc,'Loan Tape (S&amp;P)'!S45,
            total_inc,'Loan Tape (S&amp;P)'!U45,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5" s="21">
        <f>IFERROR(
        IF('Loan Tape (S&amp;P)'!L45="BTL",
            LET(
                rental,'Loan Tape (S&amp;P)'!AV45,
                balance,'Loan Tape (S&amp;P)'!B45,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5" s="21">
        <f>IFERROR(
        IF('Loan Tape (S&amp;P)'!AS45="First",
            INDEX('FF Adj Parameters'!$B$20:$B$22,1),
            IF('Loan Tape (S&amp;P)'!AS45="Second",
                INDEX('FF Adj Parameters'!$B$20:$B$22,2),
                INDEX('FF Adj Parameters'!$B$20:$B$22,3)
            )
        ),
    1)</f>
        <v/>
      </c>
      <c r="K45" s="21">
        <f>IFERROR(
        IF('Loan Tape (S&amp;P)'!AS45&lt;&gt;"First",1.00,
            IF('Loan Tape (S&amp;P)'!M45="Cash-out",
                INDEX('FF Adj Parameters'!$B$26:$B$28,3),
            1.00)
        ),
    1)</f>
        <v/>
      </c>
      <c r="L45" s="21">
        <f>IFERROR(
        LET(
            arr_months,'Loan Tape (S&amp;P)'!AK45,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5" s="21">
        <f>IFERROR(
        IF('Loan Tape (S&amp;P)'!AK45=0,
            LET(
                years,('Control Panel'!$B$10-'Loan Tape (S&amp;P)'!F45)/365.25,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5" s="21">
        <f>IFERROR(
        LET(
            is_btl,'Loan Tape (S&amp;P)'!L45="BTL",
            is_htb,'Loan Tape (S&amp;P)'!Q45="Yes",
            is_ftb,'Loan Tape (S&amp;P)'!AP45="Yes",
            seasoning_months,('Control Panel'!$B$10-'Loan Tape (S&amp;P)'!F45)*12,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5" s="21">
        <f>IF('Loan Tape (S&amp;P)'!Q45="Yes",
        INDEX('FF Adj Parameters'!$B$42:$B$47,2),
    1.00)</f>
        <v/>
      </c>
      <c r="P45" s="21">
        <f>IF('Loan Tape (S&amp;P)'!P45="Yes",
        INDEX('FF Adj Parameters'!$B$42:$B$47,3),
    1.00)</f>
        <v/>
      </c>
      <c r="Q45" s="21">
        <f>IF('Loan Tape (S&amp;P)'!O45="Yes",
        INDEX('FF Adj Parameters'!$B$42:$B$47,4),
    1.00)</f>
        <v/>
      </c>
      <c r="R45" s="21">
        <f>IFERROR(
        LET(
            is_btl,'Loan Tape (S&amp;P)'!L45="BTL",
            is_self_cert,'Loan Tape (S&amp;P)'!AO45="Yes",
            is_performing,'Loan Tape (S&amp;P)'!AK45=0,
            IF(OR(is_btl,NOT(is_self_cert)),1.00,
                IF(is_performing,
                    LET(
                        months,('Control Panel'!$B$10-'Loan Tape (S&amp;P)'!F45)*12,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5" s="21">
        <f>IF('Loan Tape (S&amp;P)'!Q45="Yes",1.00,
        IF('Loan Tape (S&amp;P)'!AQ45="Yes",
            INDEX('FF Adj Parameters'!$B$42:$B$47,5),
        1.00))</f>
        <v/>
      </c>
      <c r="T45" s="21">
        <f>IFERROR(
        IF('Loan Tape (S&amp;P)'!N45&lt;&gt;"Interest Only",1.00,
            IF('Loan Tape (S&amp;P)'!L45="BTL",1.00,
                LET(
                    years_to_mat,('Loan Tape (S&amp;P)'!G45-'Control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5" s="21">
        <f>IF('Loan Tape (S&amp;P)'!L45="BTL",1.00,
        IF('Loan Tape (S&amp;P)'!X45="Yes",
            INDEX('FF Adj Parameters'!$B$58:$B$58,1),
        1.00))</f>
        <v/>
      </c>
      <c r="V45" s="21">
        <f>IF('Loan Tape (S&amp;P)'!AU45="Yes",
        INDEX('FF Adj Parameters'!$B$42:$B$47,6),
    1.00)</f>
        <v/>
      </c>
      <c r="W45" s="23">
        <f>IFERROR(
        LET(
            ccj_count,'Loan Tape (S&amp;P)'!AD45,
            ccj_value,'Loan Tape (S&amp;P)'!AG45,
            ccj_date,'Loan Tape (S&amp;P)'!AH45,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5" s="21">
        <f>1.00</f>
        <v/>
      </c>
      <c r="Y45" s="21">
        <f>IFERROR(
        IF('Loan Tape (S&amp;P)'!AR45="Yes",
            LET(
                months_since,('Control Panel'!$B$10-'Loan Tape (S&amp;P)'!AS45)/30.44,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IFERROR(
        LET(
            is_btl,'Loan Tape (S&amp;P)'!L46="BTL",
            seasoning_months,('Control Panel'!$B$10-'Loan Tape (S&amp;P)'!F46)*12,
            threshold_months,VLOOKUP('Control Panel'!$B$6,'Jurisdiction Parameters'!$A:$F,6,FALSE),
            num_borr,'Loan Tape (S&amp;P)'!T46,
            balance,'Loan Tape (S&amp;P)'!B46,
            borr1_inc,'Loan Tape (S&amp;P)'!R46,
            borr2_inc,'Loan Tape (S&amp;P)'!S46,
            total_inc,'Loan Tape (S&amp;P)'!U46,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6" s="21">
        <f>IFERROR(
        IF('Loan Tape (S&amp;P)'!L46="BTL",
            LET(
                rental,'Loan Tape (S&amp;P)'!AV46,
                balance,'Loan Tape (S&amp;P)'!B46,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6" s="21">
        <f>IFERROR(
        IF('Loan Tape (S&amp;P)'!AS46="First",
            INDEX('FF Adj Parameters'!$B$20:$B$22,1),
            IF('Loan Tape (S&amp;P)'!AS46="Second",
                INDEX('FF Adj Parameters'!$B$20:$B$22,2),
                INDEX('FF Adj Parameters'!$B$20:$B$22,3)
            )
        ),
    1)</f>
        <v/>
      </c>
      <c r="K46" s="21">
        <f>IFERROR(
        IF('Loan Tape (S&amp;P)'!AS46&lt;&gt;"First",1.00,
            IF('Loan Tape (S&amp;P)'!M46="Cash-out",
                INDEX('FF Adj Parameters'!$B$26:$B$28,3),
            1.00)
        ),
    1)</f>
        <v/>
      </c>
      <c r="L46" s="21">
        <f>IFERROR(
        LET(
            arr_months,'Loan Tape (S&amp;P)'!AK46,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6" s="21">
        <f>IFERROR(
        IF('Loan Tape (S&amp;P)'!AK46=0,
            LET(
                years,('Control Panel'!$B$10-'Loan Tape (S&amp;P)'!F46)/365.25,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6" s="21">
        <f>IFERROR(
        LET(
            is_btl,'Loan Tape (S&amp;P)'!L46="BTL",
            is_htb,'Loan Tape (S&amp;P)'!Q46="Yes",
            is_ftb,'Loan Tape (S&amp;P)'!AP46="Yes",
            seasoning_months,('Control Panel'!$B$10-'Loan Tape (S&amp;P)'!F46)*12,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6" s="21">
        <f>IF('Loan Tape (S&amp;P)'!Q46="Yes",
        INDEX('FF Adj Parameters'!$B$42:$B$47,2),
    1.00)</f>
        <v/>
      </c>
      <c r="P46" s="21">
        <f>IF('Loan Tape (S&amp;P)'!P46="Yes",
        INDEX('FF Adj Parameters'!$B$42:$B$47,3),
    1.00)</f>
        <v/>
      </c>
      <c r="Q46" s="21">
        <f>IF('Loan Tape (S&amp;P)'!O46="Yes",
        INDEX('FF Adj Parameters'!$B$42:$B$47,4),
    1.00)</f>
        <v/>
      </c>
      <c r="R46" s="21">
        <f>IFERROR(
        LET(
            is_btl,'Loan Tape (S&amp;P)'!L46="BTL",
            is_self_cert,'Loan Tape (S&amp;P)'!AO46="Yes",
            is_performing,'Loan Tape (S&amp;P)'!AK46=0,
            IF(OR(is_btl,NOT(is_self_cert)),1.00,
                IF(is_performing,
                    LET(
                        months,('Control Panel'!$B$10-'Loan Tape (S&amp;P)'!F46)*12,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6" s="21">
        <f>IF('Loan Tape (S&amp;P)'!Q46="Yes",1.00,
        IF('Loan Tape (S&amp;P)'!AQ46="Yes",
            INDEX('FF Adj Parameters'!$B$42:$B$47,5),
        1.00))</f>
        <v/>
      </c>
      <c r="T46" s="21">
        <f>IFERROR(
        IF('Loan Tape (S&amp;P)'!N46&lt;&gt;"Interest Only",1.00,
            IF('Loan Tape (S&amp;P)'!L46="BTL",1.00,
                LET(
                    years_to_mat,('Loan Tape (S&amp;P)'!G46-'Control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6" s="21">
        <f>IF('Loan Tape (S&amp;P)'!L46="BTL",1.00,
        IF('Loan Tape (S&amp;P)'!X46="Yes",
            INDEX('FF Adj Parameters'!$B$58:$B$58,1),
        1.00))</f>
        <v/>
      </c>
      <c r="V46" s="21">
        <f>IF('Loan Tape (S&amp;P)'!AU46="Yes",
        INDEX('FF Adj Parameters'!$B$42:$B$47,6),
    1.00)</f>
        <v/>
      </c>
      <c r="W46" s="23">
        <f>IFERROR(
        LET(
            ccj_count,'Loan Tape (S&amp;P)'!AD46,
            ccj_value,'Loan Tape (S&amp;P)'!AG46,
            ccj_date,'Loan Tape (S&amp;P)'!AH46,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6" s="21">
        <f>1.00</f>
        <v/>
      </c>
      <c r="Y46" s="21">
        <f>IFERROR(
        IF('Loan Tape (S&amp;P)'!AR46="Yes",
            LET(
                months_since,('Control Panel'!$B$10-'Loan Tape (S&amp;P)'!AS46)/30.44,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IFERROR(
        LET(
            is_btl,'Loan Tape (S&amp;P)'!L47="BTL",
            seasoning_months,('Control Panel'!$B$10-'Loan Tape (S&amp;P)'!F47)*12,
            threshold_months,VLOOKUP('Control Panel'!$B$6,'Jurisdiction Parameters'!$A:$F,6,FALSE),
            num_borr,'Loan Tape (S&amp;P)'!T47,
            balance,'Loan Tape (S&amp;P)'!B47,
            borr1_inc,'Loan Tape (S&amp;P)'!R47,
            borr2_inc,'Loan Tape (S&amp;P)'!S47,
            total_inc,'Loan Tape (S&amp;P)'!U47,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7" s="21">
        <f>IFERROR(
        IF('Loan Tape (S&amp;P)'!L47="BTL",
            LET(
                rental,'Loan Tape (S&amp;P)'!AV47,
                balance,'Loan Tape (S&amp;P)'!B47,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7" s="21">
        <f>IFERROR(
        IF('Loan Tape (S&amp;P)'!AS47="First",
            INDEX('FF Adj Parameters'!$B$20:$B$22,1),
            IF('Loan Tape (S&amp;P)'!AS47="Second",
                INDEX('FF Adj Parameters'!$B$20:$B$22,2),
                INDEX('FF Adj Parameters'!$B$20:$B$22,3)
            )
        ),
    1)</f>
        <v/>
      </c>
      <c r="K47" s="21">
        <f>IFERROR(
        IF('Loan Tape (S&amp;P)'!AS47&lt;&gt;"First",1.00,
            IF('Loan Tape (S&amp;P)'!M47="Cash-out",
                INDEX('FF Adj Parameters'!$B$26:$B$28,3),
            1.00)
        ),
    1)</f>
        <v/>
      </c>
      <c r="L47" s="21">
        <f>IFERROR(
        LET(
            arr_months,'Loan Tape (S&amp;P)'!AK47,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7" s="21">
        <f>IFERROR(
        IF('Loan Tape (S&amp;P)'!AK47=0,
            LET(
                years,('Control Panel'!$B$10-'Loan Tape (S&amp;P)'!F47)/365.25,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7" s="21">
        <f>IFERROR(
        LET(
            is_btl,'Loan Tape (S&amp;P)'!L47="BTL",
            is_htb,'Loan Tape (S&amp;P)'!Q47="Yes",
            is_ftb,'Loan Tape (S&amp;P)'!AP47="Yes",
            seasoning_months,('Control Panel'!$B$10-'Loan Tape (S&amp;P)'!F47)*12,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7" s="21">
        <f>IF('Loan Tape (S&amp;P)'!Q47="Yes",
        INDEX('FF Adj Parameters'!$B$42:$B$47,2),
    1.00)</f>
        <v/>
      </c>
      <c r="P47" s="21">
        <f>IF('Loan Tape (S&amp;P)'!P47="Yes",
        INDEX('FF Adj Parameters'!$B$42:$B$47,3),
    1.00)</f>
        <v/>
      </c>
      <c r="Q47" s="21">
        <f>IF('Loan Tape (S&amp;P)'!O47="Yes",
        INDEX('FF Adj Parameters'!$B$42:$B$47,4),
    1.00)</f>
        <v/>
      </c>
      <c r="R47" s="21">
        <f>IFERROR(
        LET(
            is_btl,'Loan Tape (S&amp;P)'!L47="BTL",
            is_self_cert,'Loan Tape (S&amp;P)'!AO47="Yes",
            is_performing,'Loan Tape (S&amp;P)'!AK47=0,
            IF(OR(is_btl,NOT(is_self_cert)),1.00,
                IF(is_performing,
                    LET(
                        months,('Control Panel'!$B$10-'Loan Tape (S&amp;P)'!F47)*12,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7" s="21">
        <f>IF('Loan Tape (S&amp;P)'!Q47="Yes",1.00,
        IF('Loan Tape (S&amp;P)'!AQ47="Yes",
            INDEX('FF Adj Parameters'!$B$42:$B$47,5),
        1.00))</f>
        <v/>
      </c>
      <c r="T47" s="21">
        <f>IFERROR(
        IF('Loan Tape (S&amp;P)'!N47&lt;&gt;"Interest Only",1.00,
            IF('Loan Tape (S&amp;P)'!L47="BTL",1.00,
                LET(
                    years_to_mat,('Loan Tape (S&amp;P)'!G47-'Control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7" s="21">
        <f>IF('Loan Tape (S&amp;P)'!L47="BTL",1.00,
        IF('Loan Tape (S&amp;P)'!X47="Yes",
            INDEX('FF Adj Parameters'!$B$58:$B$58,1),
        1.00))</f>
        <v/>
      </c>
      <c r="V47" s="21">
        <f>IF('Loan Tape (S&amp;P)'!AU47="Yes",
        INDEX('FF Adj Parameters'!$B$42:$B$47,6),
    1.00)</f>
        <v/>
      </c>
      <c r="W47" s="23">
        <f>IFERROR(
        LET(
            ccj_count,'Loan Tape (S&amp;P)'!AD47,
            ccj_value,'Loan Tape (S&amp;P)'!AG47,
            ccj_date,'Loan Tape (S&amp;P)'!AH47,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7" s="21">
        <f>1.00</f>
        <v/>
      </c>
      <c r="Y47" s="21">
        <f>IFERROR(
        IF('Loan Tape (S&amp;P)'!AR47="Yes",
            LET(
                months_since,('Control Panel'!$B$10-'Loan Tape (S&amp;P)'!AS47)/30.44,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IFERROR(
        LET(
            is_btl,'Loan Tape (S&amp;P)'!L48="BTL",
            seasoning_months,('Control Panel'!$B$10-'Loan Tape (S&amp;P)'!F48)*12,
            threshold_months,VLOOKUP('Control Panel'!$B$6,'Jurisdiction Parameters'!$A:$F,6,FALSE),
            num_borr,'Loan Tape (S&amp;P)'!T48,
            balance,'Loan Tape (S&amp;P)'!B48,
            borr1_inc,'Loan Tape (S&amp;P)'!R48,
            borr2_inc,'Loan Tape (S&amp;P)'!S48,
            total_inc,'Loan Tape (S&amp;P)'!U48,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8" s="21">
        <f>IFERROR(
        IF('Loan Tape (S&amp;P)'!L48="BTL",
            LET(
                rental,'Loan Tape (S&amp;P)'!AV48,
                balance,'Loan Tape (S&amp;P)'!B48,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8" s="21">
        <f>IFERROR(
        IF('Loan Tape (S&amp;P)'!AS48="First",
            INDEX('FF Adj Parameters'!$B$20:$B$22,1),
            IF('Loan Tape (S&amp;P)'!AS48="Second",
                INDEX('FF Adj Parameters'!$B$20:$B$22,2),
                INDEX('FF Adj Parameters'!$B$20:$B$22,3)
            )
        ),
    1)</f>
        <v/>
      </c>
      <c r="K48" s="21">
        <f>IFERROR(
        IF('Loan Tape (S&amp;P)'!AS48&lt;&gt;"First",1.00,
            IF('Loan Tape (S&amp;P)'!M48="Cash-out",
                INDEX('FF Adj Parameters'!$B$26:$B$28,3),
            1.00)
        ),
    1)</f>
        <v/>
      </c>
      <c r="L48" s="21">
        <f>IFERROR(
        LET(
            arr_months,'Loan Tape (S&amp;P)'!AK48,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8" s="21">
        <f>IFERROR(
        IF('Loan Tape (S&amp;P)'!AK48=0,
            LET(
                years,('Control Panel'!$B$10-'Loan Tape (S&amp;P)'!F48)/365.25,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8" s="21">
        <f>IFERROR(
        LET(
            is_btl,'Loan Tape (S&amp;P)'!L48="BTL",
            is_htb,'Loan Tape (S&amp;P)'!Q48="Yes",
            is_ftb,'Loan Tape (S&amp;P)'!AP48="Yes",
            seasoning_months,('Control Panel'!$B$10-'Loan Tape (S&amp;P)'!F48)*12,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8" s="21">
        <f>IF('Loan Tape (S&amp;P)'!Q48="Yes",
        INDEX('FF Adj Parameters'!$B$42:$B$47,2),
    1.00)</f>
        <v/>
      </c>
      <c r="P48" s="21">
        <f>IF('Loan Tape (S&amp;P)'!P48="Yes",
        INDEX('FF Adj Parameters'!$B$42:$B$47,3),
    1.00)</f>
        <v/>
      </c>
      <c r="Q48" s="21">
        <f>IF('Loan Tape (S&amp;P)'!O48="Yes",
        INDEX('FF Adj Parameters'!$B$42:$B$47,4),
    1.00)</f>
        <v/>
      </c>
      <c r="R48" s="21">
        <f>IFERROR(
        LET(
            is_btl,'Loan Tape (S&amp;P)'!L48="BTL",
            is_self_cert,'Loan Tape (S&amp;P)'!AO48="Yes",
            is_performing,'Loan Tape (S&amp;P)'!AK48=0,
            IF(OR(is_btl,NOT(is_self_cert)),1.00,
                IF(is_performing,
                    LET(
                        months,('Control Panel'!$B$10-'Loan Tape (S&amp;P)'!F48)*12,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8" s="21">
        <f>IF('Loan Tape (S&amp;P)'!Q48="Yes",1.00,
        IF('Loan Tape (S&amp;P)'!AQ48="Yes",
            INDEX('FF Adj Parameters'!$B$42:$B$47,5),
        1.00))</f>
        <v/>
      </c>
      <c r="T48" s="21">
        <f>IFERROR(
        IF('Loan Tape (S&amp;P)'!N48&lt;&gt;"Interest Only",1.00,
            IF('Loan Tape (S&amp;P)'!L48="BTL",1.00,
                LET(
                    years_to_mat,('Loan Tape (S&amp;P)'!G48-'Control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8" s="21">
        <f>IF('Loan Tape (S&amp;P)'!L48="BTL",1.00,
        IF('Loan Tape (S&amp;P)'!X48="Yes",
            INDEX('FF Adj Parameters'!$B$58:$B$58,1),
        1.00))</f>
        <v/>
      </c>
      <c r="V48" s="21">
        <f>IF('Loan Tape (S&amp;P)'!AU48="Yes",
        INDEX('FF Adj Parameters'!$B$42:$B$47,6),
    1.00)</f>
        <v/>
      </c>
      <c r="W48" s="23">
        <f>IFERROR(
        LET(
            ccj_count,'Loan Tape (S&amp;P)'!AD48,
            ccj_value,'Loan Tape (S&amp;P)'!AG48,
            ccj_date,'Loan Tape (S&amp;P)'!AH48,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8" s="21">
        <f>1.00</f>
        <v/>
      </c>
      <c r="Y48" s="21">
        <f>IFERROR(
        IF('Loan Tape (S&amp;P)'!AR48="Yes",
            LET(
                months_since,('Control Panel'!$B$10-'Loan Tape (S&amp;P)'!AS48)/30.44,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IFERROR(
        LET(
            is_btl,'Loan Tape (S&amp;P)'!L49="BTL",
            seasoning_months,('Control Panel'!$B$10-'Loan Tape (S&amp;P)'!F49)*12,
            threshold_months,VLOOKUP('Control Panel'!$B$6,'Jurisdiction Parameters'!$A:$F,6,FALSE),
            num_borr,'Loan Tape (S&amp;P)'!T49,
            balance,'Loan Tape (S&amp;P)'!B49,
            borr1_inc,'Loan Tape (S&amp;P)'!R49,
            borr2_inc,'Loan Tape (S&amp;P)'!S49,
            total_inc,'Loan Tape (S&amp;P)'!U49,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49" s="21">
        <f>IFERROR(
        IF('Loan Tape (S&amp;P)'!L49="BTL",
            LET(
                rental,'Loan Tape (S&amp;P)'!AV49,
                balance,'Loan Tape (S&amp;P)'!B49,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49" s="21">
        <f>IFERROR(
        IF('Loan Tape (S&amp;P)'!AS49="First",
            INDEX('FF Adj Parameters'!$B$20:$B$22,1),
            IF('Loan Tape (S&amp;P)'!AS49="Second",
                INDEX('FF Adj Parameters'!$B$20:$B$22,2),
                INDEX('FF Adj Parameters'!$B$20:$B$22,3)
            )
        ),
    1)</f>
        <v/>
      </c>
      <c r="K49" s="21">
        <f>IFERROR(
        IF('Loan Tape (S&amp;P)'!AS49&lt;&gt;"First",1.00,
            IF('Loan Tape (S&amp;P)'!M49="Cash-out",
                INDEX('FF Adj Parameters'!$B$26:$B$28,3),
            1.00)
        ),
    1)</f>
        <v/>
      </c>
      <c r="L49" s="21">
        <f>IFERROR(
        LET(
            arr_months,'Loan Tape (S&amp;P)'!AK49,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49" s="21">
        <f>IFERROR(
        IF('Loan Tape (S&amp;P)'!AK49=0,
            LET(
                years,('Control Panel'!$B$10-'Loan Tape (S&amp;P)'!F49)/365.25,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49" s="21">
        <f>IFERROR(
        LET(
            is_btl,'Loan Tape (S&amp;P)'!L49="BTL",
            is_htb,'Loan Tape (S&amp;P)'!Q49="Yes",
            is_ftb,'Loan Tape (S&amp;P)'!AP49="Yes",
            seasoning_months,('Control Panel'!$B$10-'Loan Tape (S&amp;P)'!F49)*12,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49" s="21">
        <f>IF('Loan Tape (S&amp;P)'!Q49="Yes",
        INDEX('FF Adj Parameters'!$B$42:$B$47,2),
    1.00)</f>
        <v/>
      </c>
      <c r="P49" s="21">
        <f>IF('Loan Tape (S&amp;P)'!P49="Yes",
        INDEX('FF Adj Parameters'!$B$42:$B$47,3),
    1.00)</f>
        <v/>
      </c>
      <c r="Q49" s="21">
        <f>IF('Loan Tape (S&amp;P)'!O49="Yes",
        INDEX('FF Adj Parameters'!$B$42:$B$47,4),
    1.00)</f>
        <v/>
      </c>
      <c r="R49" s="21">
        <f>IFERROR(
        LET(
            is_btl,'Loan Tape (S&amp;P)'!L49="BTL",
            is_self_cert,'Loan Tape (S&amp;P)'!AO49="Yes",
            is_performing,'Loan Tape (S&amp;P)'!AK49=0,
            IF(OR(is_btl,NOT(is_self_cert)),1.00,
                IF(is_performing,
                    LET(
                        months,('Control Panel'!$B$10-'Loan Tape (S&amp;P)'!F49)*12,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49" s="21">
        <f>IF('Loan Tape (S&amp;P)'!Q49="Yes",1.00,
        IF('Loan Tape (S&amp;P)'!AQ49="Yes",
            INDEX('FF Adj Parameters'!$B$42:$B$47,5),
        1.00))</f>
        <v/>
      </c>
      <c r="T49" s="21">
        <f>IFERROR(
        IF('Loan Tape (S&amp;P)'!N49&lt;&gt;"Interest Only",1.00,
            IF('Loan Tape (S&amp;P)'!L49="BTL",1.00,
                LET(
                    years_to_mat,('Loan Tape (S&amp;P)'!G49-'Control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49" s="21">
        <f>IF('Loan Tape (S&amp;P)'!L49="BTL",1.00,
        IF('Loan Tape (S&amp;P)'!X49="Yes",
            INDEX('FF Adj Parameters'!$B$58:$B$58,1),
        1.00))</f>
        <v/>
      </c>
      <c r="V49" s="21">
        <f>IF('Loan Tape (S&amp;P)'!AU49="Yes",
        INDEX('FF Adj Parameters'!$B$42:$B$47,6),
    1.00)</f>
        <v/>
      </c>
      <c r="W49" s="23">
        <f>IFERROR(
        LET(
            ccj_count,'Loan Tape (S&amp;P)'!AD49,
            ccj_value,'Loan Tape (S&amp;P)'!AG49,
            ccj_date,'Loan Tape (S&amp;P)'!AH49,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49" s="21">
        <f>1.00</f>
        <v/>
      </c>
      <c r="Y49" s="21">
        <f>IFERROR(
        IF('Loan Tape (S&amp;P)'!AR49="Yes",
            LET(
                months_since,('Control Panel'!$B$10-'Loan Tape (S&amp;P)'!AS49)/30.44,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IFERROR(
        LET(
            is_btl,'Loan Tape (S&amp;P)'!L50="BTL",
            seasoning_months,('Control Panel'!$B$10-'Loan Tape (S&amp;P)'!F50)*12,
            threshold_months,VLOOKUP('Control Panel'!$B$6,'Jurisdiction Parameters'!$A:$F,6,FALSE),
            num_borr,'Loan Tape (S&amp;P)'!T50,
            balance,'Loan Tape (S&amp;P)'!B50,
            borr1_inc,'Loan Tape (S&amp;P)'!R50,
            borr2_inc,'Loan Tape (S&amp;P)'!S50,
            total_inc,'Loan Tape (S&amp;P)'!U50,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0" s="21">
        <f>IFERROR(
        IF('Loan Tape (S&amp;P)'!L50="BTL",
            LET(
                rental,'Loan Tape (S&amp;P)'!AV50,
                balance,'Loan Tape (S&amp;P)'!B50,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0" s="21">
        <f>IFERROR(
        IF('Loan Tape (S&amp;P)'!AS50="First",
            INDEX('FF Adj Parameters'!$B$20:$B$22,1),
            IF('Loan Tape (S&amp;P)'!AS50="Second",
                INDEX('FF Adj Parameters'!$B$20:$B$22,2),
                INDEX('FF Adj Parameters'!$B$20:$B$22,3)
            )
        ),
    1)</f>
        <v/>
      </c>
      <c r="K50" s="21">
        <f>IFERROR(
        IF('Loan Tape (S&amp;P)'!AS50&lt;&gt;"First",1.00,
            IF('Loan Tape (S&amp;P)'!M50="Cash-out",
                INDEX('FF Adj Parameters'!$B$26:$B$28,3),
            1.00)
        ),
    1)</f>
        <v/>
      </c>
      <c r="L50" s="21">
        <f>IFERROR(
        LET(
            arr_months,'Loan Tape (S&amp;P)'!AK50,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0" s="21">
        <f>IFERROR(
        IF('Loan Tape (S&amp;P)'!AK50=0,
            LET(
                years,('Control Panel'!$B$10-'Loan Tape (S&amp;P)'!F50)/365.25,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0" s="21">
        <f>IFERROR(
        LET(
            is_btl,'Loan Tape (S&amp;P)'!L50="BTL",
            is_htb,'Loan Tape (S&amp;P)'!Q50="Yes",
            is_ftb,'Loan Tape (S&amp;P)'!AP50="Yes",
            seasoning_months,('Control Panel'!$B$10-'Loan Tape (S&amp;P)'!F50)*12,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0" s="21">
        <f>IF('Loan Tape (S&amp;P)'!Q50="Yes",
        INDEX('FF Adj Parameters'!$B$42:$B$47,2),
    1.00)</f>
        <v/>
      </c>
      <c r="P50" s="21">
        <f>IF('Loan Tape (S&amp;P)'!P50="Yes",
        INDEX('FF Adj Parameters'!$B$42:$B$47,3),
    1.00)</f>
        <v/>
      </c>
      <c r="Q50" s="21">
        <f>IF('Loan Tape (S&amp;P)'!O50="Yes",
        INDEX('FF Adj Parameters'!$B$42:$B$47,4),
    1.00)</f>
        <v/>
      </c>
      <c r="R50" s="21">
        <f>IFERROR(
        LET(
            is_btl,'Loan Tape (S&amp;P)'!L50="BTL",
            is_self_cert,'Loan Tape (S&amp;P)'!AO50="Yes",
            is_performing,'Loan Tape (S&amp;P)'!AK50=0,
            IF(OR(is_btl,NOT(is_self_cert)),1.00,
                IF(is_performing,
                    LET(
                        months,('Control Panel'!$B$10-'Loan Tape (S&amp;P)'!F50)*12,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0" s="21">
        <f>IF('Loan Tape (S&amp;P)'!Q50="Yes",1.00,
        IF('Loan Tape (S&amp;P)'!AQ50="Yes",
            INDEX('FF Adj Parameters'!$B$42:$B$47,5),
        1.00))</f>
        <v/>
      </c>
      <c r="T50" s="21">
        <f>IFERROR(
        IF('Loan Tape (S&amp;P)'!N50&lt;&gt;"Interest Only",1.00,
            IF('Loan Tape (S&amp;P)'!L50="BTL",1.00,
                LET(
                    years_to_mat,('Loan Tape (S&amp;P)'!G50-'Control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0" s="21">
        <f>IF('Loan Tape (S&amp;P)'!L50="BTL",1.00,
        IF('Loan Tape (S&amp;P)'!X50="Yes",
            INDEX('FF Adj Parameters'!$B$58:$B$58,1),
        1.00))</f>
        <v/>
      </c>
      <c r="V50" s="21">
        <f>IF('Loan Tape (S&amp;P)'!AU50="Yes",
        INDEX('FF Adj Parameters'!$B$42:$B$47,6),
    1.00)</f>
        <v/>
      </c>
      <c r="W50" s="23">
        <f>IFERROR(
        LET(
            ccj_count,'Loan Tape (S&amp;P)'!AD50,
            ccj_value,'Loan Tape (S&amp;P)'!AG50,
            ccj_date,'Loan Tape (S&amp;P)'!AH50,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0" s="21">
        <f>1.00</f>
        <v/>
      </c>
      <c r="Y50" s="21">
        <f>IFERROR(
        IF('Loan Tape (S&amp;P)'!AR50="Yes",
            LET(
                months_since,('Control Panel'!$B$10-'Loan Tape (S&amp;P)'!AS50)/30.44,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IFERROR(
        LET(
            is_btl,'Loan Tape (S&amp;P)'!L51="BTL",
            seasoning_months,('Control Panel'!$B$10-'Loan Tape (S&amp;P)'!F51)*12,
            threshold_months,VLOOKUP('Control Panel'!$B$6,'Jurisdiction Parameters'!$A:$F,6,FALSE),
            num_borr,'Loan Tape (S&amp;P)'!T51,
            balance,'Loan Tape (S&amp;P)'!B51,
            borr1_inc,'Loan Tape (S&amp;P)'!R51,
            borr2_inc,'Loan Tape (S&amp;P)'!S51,
            total_inc,'Loan Tape (S&amp;P)'!U51,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1" s="21">
        <f>IFERROR(
        IF('Loan Tape (S&amp;P)'!L51="BTL",
            LET(
                rental,'Loan Tape (S&amp;P)'!AV51,
                balance,'Loan Tape (S&amp;P)'!B51,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1" s="21">
        <f>IFERROR(
        IF('Loan Tape (S&amp;P)'!AS51="First",
            INDEX('FF Adj Parameters'!$B$20:$B$22,1),
            IF('Loan Tape (S&amp;P)'!AS51="Second",
                INDEX('FF Adj Parameters'!$B$20:$B$22,2),
                INDEX('FF Adj Parameters'!$B$20:$B$22,3)
            )
        ),
    1)</f>
        <v/>
      </c>
      <c r="K51" s="21">
        <f>IFERROR(
        IF('Loan Tape (S&amp;P)'!AS51&lt;&gt;"First",1.00,
            IF('Loan Tape (S&amp;P)'!M51="Cash-out",
                INDEX('FF Adj Parameters'!$B$26:$B$28,3),
            1.00)
        ),
    1)</f>
        <v/>
      </c>
      <c r="L51" s="21">
        <f>IFERROR(
        LET(
            arr_months,'Loan Tape (S&amp;P)'!AK51,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1" s="21">
        <f>IFERROR(
        IF('Loan Tape (S&amp;P)'!AK51=0,
            LET(
                years,('Control Panel'!$B$10-'Loan Tape (S&amp;P)'!F51)/365.25,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1" s="21">
        <f>IFERROR(
        LET(
            is_btl,'Loan Tape (S&amp;P)'!L51="BTL",
            is_htb,'Loan Tape (S&amp;P)'!Q51="Yes",
            is_ftb,'Loan Tape (S&amp;P)'!AP51="Yes",
            seasoning_months,('Control Panel'!$B$10-'Loan Tape (S&amp;P)'!F51)*12,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1" s="21">
        <f>IF('Loan Tape (S&amp;P)'!Q51="Yes",
        INDEX('FF Adj Parameters'!$B$42:$B$47,2),
    1.00)</f>
        <v/>
      </c>
      <c r="P51" s="21">
        <f>IF('Loan Tape (S&amp;P)'!P51="Yes",
        INDEX('FF Adj Parameters'!$B$42:$B$47,3),
    1.00)</f>
        <v/>
      </c>
      <c r="Q51" s="21">
        <f>IF('Loan Tape (S&amp;P)'!O51="Yes",
        INDEX('FF Adj Parameters'!$B$42:$B$47,4),
    1.00)</f>
        <v/>
      </c>
      <c r="R51" s="21">
        <f>IFERROR(
        LET(
            is_btl,'Loan Tape (S&amp;P)'!L51="BTL",
            is_self_cert,'Loan Tape (S&amp;P)'!AO51="Yes",
            is_performing,'Loan Tape (S&amp;P)'!AK51=0,
            IF(OR(is_btl,NOT(is_self_cert)),1.00,
                IF(is_performing,
                    LET(
                        months,('Control Panel'!$B$10-'Loan Tape (S&amp;P)'!F51)*12,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1" s="21">
        <f>IF('Loan Tape (S&amp;P)'!Q51="Yes",1.00,
        IF('Loan Tape (S&amp;P)'!AQ51="Yes",
            INDEX('FF Adj Parameters'!$B$42:$B$47,5),
        1.00))</f>
        <v/>
      </c>
      <c r="T51" s="21">
        <f>IFERROR(
        IF('Loan Tape (S&amp;P)'!N51&lt;&gt;"Interest Only",1.00,
            IF('Loan Tape (S&amp;P)'!L51="BTL",1.00,
                LET(
                    years_to_mat,('Loan Tape (S&amp;P)'!G51-'Control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1" s="21">
        <f>IF('Loan Tape (S&amp;P)'!L51="BTL",1.00,
        IF('Loan Tape (S&amp;P)'!X51="Yes",
            INDEX('FF Adj Parameters'!$B$58:$B$58,1),
        1.00))</f>
        <v/>
      </c>
      <c r="V51" s="21">
        <f>IF('Loan Tape (S&amp;P)'!AU51="Yes",
        INDEX('FF Adj Parameters'!$B$42:$B$47,6),
    1.00)</f>
        <v/>
      </c>
      <c r="W51" s="23">
        <f>IFERROR(
        LET(
            ccj_count,'Loan Tape (S&amp;P)'!AD51,
            ccj_value,'Loan Tape (S&amp;P)'!AG51,
            ccj_date,'Loan Tape (S&amp;P)'!AH51,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1" s="21">
        <f>1.00</f>
        <v/>
      </c>
      <c r="Y51" s="21">
        <f>IFERROR(
        IF('Loan Tape (S&amp;P)'!AR51="Yes",
            LET(
                months_since,('Control Panel'!$B$10-'Loan Tape (S&amp;P)'!AS51)/30.44,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IFERROR(
        LET(
            is_btl,'Loan Tape (S&amp;P)'!L52="BTL",
            seasoning_months,('Control Panel'!$B$10-'Loan Tape (S&amp;P)'!F52)*12,
            threshold_months,VLOOKUP('Control Panel'!$B$6,'Jurisdiction Parameters'!$A:$F,6,FALSE),
            num_borr,'Loan Tape (S&amp;P)'!T52,
            balance,'Loan Tape (S&amp;P)'!B52,
            borr1_inc,'Loan Tape (S&amp;P)'!R52,
            borr2_inc,'Loan Tape (S&amp;P)'!S52,
            total_inc,'Loan Tape (S&amp;P)'!U52,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2" s="21">
        <f>IFERROR(
        IF('Loan Tape (S&amp;P)'!L52="BTL",
            LET(
                rental,'Loan Tape (S&amp;P)'!AV52,
                balance,'Loan Tape (S&amp;P)'!B52,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2" s="21">
        <f>IFERROR(
        IF('Loan Tape (S&amp;P)'!AS52="First",
            INDEX('FF Adj Parameters'!$B$20:$B$22,1),
            IF('Loan Tape (S&amp;P)'!AS52="Second",
                INDEX('FF Adj Parameters'!$B$20:$B$22,2),
                INDEX('FF Adj Parameters'!$B$20:$B$22,3)
            )
        ),
    1)</f>
        <v/>
      </c>
      <c r="K52" s="21">
        <f>IFERROR(
        IF('Loan Tape (S&amp;P)'!AS52&lt;&gt;"First",1.00,
            IF('Loan Tape (S&amp;P)'!M52="Cash-out",
                INDEX('FF Adj Parameters'!$B$26:$B$28,3),
            1.00)
        ),
    1)</f>
        <v/>
      </c>
      <c r="L52" s="21">
        <f>IFERROR(
        LET(
            arr_months,'Loan Tape (S&amp;P)'!AK52,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2" s="21">
        <f>IFERROR(
        IF('Loan Tape (S&amp;P)'!AK52=0,
            LET(
                years,('Control Panel'!$B$10-'Loan Tape (S&amp;P)'!F52)/365.25,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2" s="21">
        <f>IFERROR(
        LET(
            is_btl,'Loan Tape (S&amp;P)'!L52="BTL",
            is_htb,'Loan Tape (S&amp;P)'!Q52="Yes",
            is_ftb,'Loan Tape (S&amp;P)'!AP52="Yes",
            seasoning_months,('Control Panel'!$B$10-'Loan Tape (S&amp;P)'!F52)*12,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2" s="21">
        <f>IF('Loan Tape (S&amp;P)'!Q52="Yes",
        INDEX('FF Adj Parameters'!$B$42:$B$47,2),
    1.00)</f>
        <v/>
      </c>
      <c r="P52" s="21">
        <f>IF('Loan Tape (S&amp;P)'!P52="Yes",
        INDEX('FF Adj Parameters'!$B$42:$B$47,3),
    1.00)</f>
        <v/>
      </c>
      <c r="Q52" s="21">
        <f>IF('Loan Tape (S&amp;P)'!O52="Yes",
        INDEX('FF Adj Parameters'!$B$42:$B$47,4),
    1.00)</f>
        <v/>
      </c>
      <c r="R52" s="21">
        <f>IFERROR(
        LET(
            is_btl,'Loan Tape (S&amp;P)'!L52="BTL",
            is_self_cert,'Loan Tape (S&amp;P)'!AO52="Yes",
            is_performing,'Loan Tape (S&amp;P)'!AK52=0,
            IF(OR(is_btl,NOT(is_self_cert)),1.00,
                IF(is_performing,
                    LET(
                        months,('Control Panel'!$B$10-'Loan Tape (S&amp;P)'!F52)*12,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2" s="21">
        <f>IF('Loan Tape (S&amp;P)'!Q52="Yes",1.00,
        IF('Loan Tape (S&amp;P)'!AQ52="Yes",
            INDEX('FF Adj Parameters'!$B$42:$B$47,5),
        1.00))</f>
        <v/>
      </c>
      <c r="T52" s="21">
        <f>IFERROR(
        IF('Loan Tape (S&amp;P)'!N52&lt;&gt;"Interest Only",1.00,
            IF('Loan Tape (S&amp;P)'!L52="BTL",1.00,
                LET(
                    years_to_mat,('Loan Tape (S&amp;P)'!G52-'Control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2" s="21">
        <f>IF('Loan Tape (S&amp;P)'!L52="BTL",1.00,
        IF('Loan Tape (S&amp;P)'!X52="Yes",
            INDEX('FF Adj Parameters'!$B$58:$B$58,1),
        1.00))</f>
        <v/>
      </c>
      <c r="V52" s="21">
        <f>IF('Loan Tape (S&amp;P)'!AU52="Yes",
        INDEX('FF Adj Parameters'!$B$42:$B$47,6),
    1.00)</f>
        <v/>
      </c>
      <c r="W52" s="23">
        <f>IFERROR(
        LET(
            ccj_count,'Loan Tape (S&amp;P)'!AD52,
            ccj_value,'Loan Tape (S&amp;P)'!AG52,
            ccj_date,'Loan Tape (S&amp;P)'!AH52,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2" s="21">
        <f>1.00</f>
        <v/>
      </c>
      <c r="Y52" s="21">
        <f>IFERROR(
        IF('Loan Tape (S&amp;P)'!AR52="Yes",
            LET(
                months_since,('Control Panel'!$B$10-'Loan Tape (S&amp;P)'!AS52)/30.44,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IFERROR(
        LET(
            is_btl,'Loan Tape (S&amp;P)'!L53="BTL",
            seasoning_months,('Control Panel'!$B$10-'Loan Tape (S&amp;P)'!F53)*12,
            threshold_months,VLOOKUP('Control Panel'!$B$6,'Jurisdiction Parameters'!$A:$F,6,FALSE),
            num_borr,'Loan Tape (S&amp;P)'!T53,
            balance,'Loan Tape (S&amp;P)'!B53,
            borr1_inc,'Loan Tape (S&amp;P)'!R53,
            borr2_inc,'Loan Tape (S&amp;P)'!S53,
            total_inc,'Loan Tape (S&amp;P)'!U53,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3" s="21">
        <f>IFERROR(
        IF('Loan Tape (S&amp;P)'!L53="BTL",
            LET(
                rental,'Loan Tape (S&amp;P)'!AV53,
                balance,'Loan Tape (S&amp;P)'!B53,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3" s="21">
        <f>IFERROR(
        IF('Loan Tape (S&amp;P)'!AS53="First",
            INDEX('FF Adj Parameters'!$B$20:$B$22,1),
            IF('Loan Tape (S&amp;P)'!AS53="Second",
                INDEX('FF Adj Parameters'!$B$20:$B$22,2),
                INDEX('FF Adj Parameters'!$B$20:$B$22,3)
            )
        ),
    1)</f>
        <v/>
      </c>
      <c r="K53" s="21">
        <f>IFERROR(
        IF('Loan Tape (S&amp;P)'!AS53&lt;&gt;"First",1.00,
            IF('Loan Tape (S&amp;P)'!M53="Cash-out",
                INDEX('FF Adj Parameters'!$B$26:$B$28,3),
            1.00)
        ),
    1)</f>
        <v/>
      </c>
      <c r="L53" s="21">
        <f>IFERROR(
        LET(
            arr_months,'Loan Tape (S&amp;P)'!AK53,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3" s="21">
        <f>IFERROR(
        IF('Loan Tape (S&amp;P)'!AK53=0,
            LET(
                years,('Control Panel'!$B$10-'Loan Tape (S&amp;P)'!F53)/365.25,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3" s="21">
        <f>IFERROR(
        LET(
            is_btl,'Loan Tape (S&amp;P)'!L53="BTL",
            is_htb,'Loan Tape (S&amp;P)'!Q53="Yes",
            is_ftb,'Loan Tape (S&amp;P)'!AP53="Yes",
            seasoning_months,('Control Panel'!$B$10-'Loan Tape (S&amp;P)'!F53)*12,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3" s="21">
        <f>IF('Loan Tape (S&amp;P)'!Q53="Yes",
        INDEX('FF Adj Parameters'!$B$42:$B$47,2),
    1.00)</f>
        <v/>
      </c>
      <c r="P53" s="21">
        <f>IF('Loan Tape (S&amp;P)'!P53="Yes",
        INDEX('FF Adj Parameters'!$B$42:$B$47,3),
    1.00)</f>
        <v/>
      </c>
      <c r="Q53" s="21">
        <f>IF('Loan Tape (S&amp;P)'!O53="Yes",
        INDEX('FF Adj Parameters'!$B$42:$B$47,4),
    1.00)</f>
        <v/>
      </c>
      <c r="R53" s="21">
        <f>IFERROR(
        LET(
            is_btl,'Loan Tape (S&amp;P)'!L53="BTL",
            is_self_cert,'Loan Tape (S&amp;P)'!AO53="Yes",
            is_performing,'Loan Tape (S&amp;P)'!AK53=0,
            IF(OR(is_btl,NOT(is_self_cert)),1.00,
                IF(is_performing,
                    LET(
                        months,('Control Panel'!$B$10-'Loan Tape (S&amp;P)'!F53)*12,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3" s="21">
        <f>IF('Loan Tape (S&amp;P)'!Q53="Yes",1.00,
        IF('Loan Tape (S&amp;P)'!AQ53="Yes",
            INDEX('FF Adj Parameters'!$B$42:$B$47,5),
        1.00))</f>
        <v/>
      </c>
      <c r="T53" s="21">
        <f>IFERROR(
        IF('Loan Tape (S&amp;P)'!N53&lt;&gt;"Interest Only",1.00,
            IF('Loan Tape (S&amp;P)'!L53="BTL",1.00,
                LET(
                    years_to_mat,('Loan Tape (S&amp;P)'!G53-'Control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3" s="21">
        <f>IF('Loan Tape (S&amp;P)'!L53="BTL",1.00,
        IF('Loan Tape (S&amp;P)'!X53="Yes",
            INDEX('FF Adj Parameters'!$B$58:$B$58,1),
        1.00))</f>
        <v/>
      </c>
      <c r="V53" s="21">
        <f>IF('Loan Tape (S&amp;P)'!AU53="Yes",
        INDEX('FF Adj Parameters'!$B$42:$B$47,6),
    1.00)</f>
        <v/>
      </c>
      <c r="W53" s="23">
        <f>IFERROR(
        LET(
            ccj_count,'Loan Tape (S&amp;P)'!AD53,
            ccj_value,'Loan Tape (S&amp;P)'!AG53,
            ccj_date,'Loan Tape (S&amp;P)'!AH53,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3" s="21">
        <f>1.00</f>
        <v/>
      </c>
      <c r="Y53" s="21">
        <f>IFERROR(
        IF('Loan Tape (S&amp;P)'!AR53="Yes",
            LET(
                months_since,('Control Panel'!$B$10-'Loan Tape (S&amp;P)'!AS53)/30.44,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IFERROR(
        LET(
            is_btl,'Loan Tape (S&amp;P)'!L54="BTL",
            seasoning_months,('Control Panel'!$B$10-'Loan Tape (S&amp;P)'!F54)*12,
            threshold_months,VLOOKUP('Control Panel'!$B$6,'Jurisdiction Parameters'!$A:$F,6,FALSE),
            num_borr,'Loan Tape (S&amp;P)'!T54,
            balance,'Loan Tape (S&amp;P)'!B54,
            borr1_inc,'Loan Tape (S&amp;P)'!R54,
            borr2_inc,'Loan Tape (S&amp;P)'!S54,
            total_inc,'Loan Tape (S&amp;P)'!U54,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4" s="21">
        <f>IFERROR(
        IF('Loan Tape (S&amp;P)'!L54="BTL",
            LET(
                rental,'Loan Tape (S&amp;P)'!AV54,
                balance,'Loan Tape (S&amp;P)'!B54,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4" s="21">
        <f>IFERROR(
        IF('Loan Tape (S&amp;P)'!AS54="First",
            INDEX('FF Adj Parameters'!$B$20:$B$22,1),
            IF('Loan Tape (S&amp;P)'!AS54="Second",
                INDEX('FF Adj Parameters'!$B$20:$B$22,2),
                INDEX('FF Adj Parameters'!$B$20:$B$22,3)
            )
        ),
    1)</f>
        <v/>
      </c>
      <c r="K54" s="21">
        <f>IFERROR(
        IF('Loan Tape (S&amp;P)'!AS54&lt;&gt;"First",1.00,
            IF('Loan Tape (S&amp;P)'!M54="Cash-out",
                INDEX('FF Adj Parameters'!$B$26:$B$28,3),
            1.00)
        ),
    1)</f>
        <v/>
      </c>
      <c r="L54" s="21">
        <f>IFERROR(
        LET(
            arr_months,'Loan Tape (S&amp;P)'!AK54,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4" s="21">
        <f>IFERROR(
        IF('Loan Tape (S&amp;P)'!AK54=0,
            LET(
                years,('Control Panel'!$B$10-'Loan Tape (S&amp;P)'!F54)/365.25,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4" s="21">
        <f>IFERROR(
        LET(
            is_btl,'Loan Tape (S&amp;P)'!L54="BTL",
            is_htb,'Loan Tape (S&amp;P)'!Q54="Yes",
            is_ftb,'Loan Tape (S&amp;P)'!AP54="Yes",
            seasoning_months,('Control Panel'!$B$10-'Loan Tape (S&amp;P)'!F54)*12,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4" s="21">
        <f>IF('Loan Tape (S&amp;P)'!Q54="Yes",
        INDEX('FF Adj Parameters'!$B$42:$B$47,2),
    1.00)</f>
        <v/>
      </c>
      <c r="P54" s="21">
        <f>IF('Loan Tape (S&amp;P)'!P54="Yes",
        INDEX('FF Adj Parameters'!$B$42:$B$47,3),
    1.00)</f>
        <v/>
      </c>
      <c r="Q54" s="21">
        <f>IF('Loan Tape (S&amp;P)'!O54="Yes",
        INDEX('FF Adj Parameters'!$B$42:$B$47,4),
    1.00)</f>
        <v/>
      </c>
      <c r="R54" s="21">
        <f>IFERROR(
        LET(
            is_btl,'Loan Tape (S&amp;P)'!L54="BTL",
            is_self_cert,'Loan Tape (S&amp;P)'!AO54="Yes",
            is_performing,'Loan Tape (S&amp;P)'!AK54=0,
            IF(OR(is_btl,NOT(is_self_cert)),1.00,
                IF(is_performing,
                    LET(
                        months,('Control Panel'!$B$10-'Loan Tape (S&amp;P)'!F54)*12,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4" s="21">
        <f>IF('Loan Tape (S&amp;P)'!Q54="Yes",1.00,
        IF('Loan Tape (S&amp;P)'!AQ54="Yes",
            INDEX('FF Adj Parameters'!$B$42:$B$47,5),
        1.00))</f>
        <v/>
      </c>
      <c r="T54" s="21">
        <f>IFERROR(
        IF('Loan Tape (S&amp;P)'!N54&lt;&gt;"Interest Only",1.00,
            IF('Loan Tape (S&amp;P)'!L54="BTL",1.00,
                LET(
                    years_to_mat,('Loan Tape (S&amp;P)'!G54-'Control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4" s="21">
        <f>IF('Loan Tape (S&amp;P)'!L54="BTL",1.00,
        IF('Loan Tape (S&amp;P)'!X54="Yes",
            INDEX('FF Adj Parameters'!$B$58:$B$58,1),
        1.00))</f>
        <v/>
      </c>
      <c r="V54" s="21">
        <f>IF('Loan Tape (S&amp;P)'!AU54="Yes",
        INDEX('FF Adj Parameters'!$B$42:$B$47,6),
    1.00)</f>
        <v/>
      </c>
      <c r="W54" s="23">
        <f>IFERROR(
        LET(
            ccj_count,'Loan Tape (S&amp;P)'!AD54,
            ccj_value,'Loan Tape (S&amp;P)'!AG54,
            ccj_date,'Loan Tape (S&amp;P)'!AH54,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4" s="21">
        <f>1.00</f>
        <v/>
      </c>
      <c r="Y54" s="21">
        <f>IFERROR(
        IF('Loan Tape (S&amp;P)'!AR54="Yes",
            LET(
                months_since,('Control Panel'!$B$10-'Loan Tape (S&amp;P)'!AS54)/30.44,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IFERROR(
        LET(
            is_btl,'Loan Tape (S&amp;P)'!L55="BTL",
            seasoning_months,('Control Panel'!$B$10-'Loan Tape (S&amp;P)'!F55)*12,
            threshold_months,VLOOKUP('Control Panel'!$B$6,'Jurisdiction Parameters'!$A:$F,6,FALSE),
            num_borr,'Loan Tape (S&amp;P)'!T55,
            balance,'Loan Tape (S&amp;P)'!B55,
            borr1_inc,'Loan Tape (S&amp;P)'!R55,
            borr2_inc,'Loan Tape (S&amp;P)'!S55,
            total_inc,'Loan Tape (S&amp;P)'!U55,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5" s="21">
        <f>IFERROR(
        IF('Loan Tape (S&amp;P)'!L55="BTL",
            LET(
                rental,'Loan Tape (S&amp;P)'!AV55,
                balance,'Loan Tape (S&amp;P)'!B55,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5" s="21">
        <f>IFERROR(
        IF('Loan Tape (S&amp;P)'!AS55="First",
            INDEX('FF Adj Parameters'!$B$20:$B$22,1),
            IF('Loan Tape (S&amp;P)'!AS55="Second",
                INDEX('FF Adj Parameters'!$B$20:$B$22,2),
                INDEX('FF Adj Parameters'!$B$20:$B$22,3)
            )
        ),
    1)</f>
        <v/>
      </c>
      <c r="K55" s="21">
        <f>IFERROR(
        IF('Loan Tape (S&amp;P)'!AS55&lt;&gt;"First",1.00,
            IF('Loan Tape (S&amp;P)'!M55="Cash-out",
                INDEX('FF Adj Parameters'!$B$26:$B$28,3),
            1.00)
        ),
    1)</f>
        <v/>
      </c>
      <c r="L55" s="21">
        <f>IFERROR(
        LET(
            arr_months,'Loan Tape (S&amp;P)'!AK55,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5" s="21">
        <f>IFERROR(
        IF('Loan Tape (S&amp;P)'!AK55=0,
            LET(
                years,('Control Panel'!$B$10-'Loan Tape (S&amp;P)'!F55)/365.25,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5" s="21">
        <f>IFERROR(
        LET(
            is_btl,'Loan Tape (S&amp;P)'!L55="BTL",
            is_htb,'Loan Tape (S&amp;P)'!Q55="Yes",
            is_ftb,'Loan Tape (S&amp;P)'!AP55="Yes",
            seasoning_months,('Control Panel'!$B$10-'Loan Tape (S&amp;P)'!F55)*12,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5" s="21">
        <f>IF('Loan Tape (S&amp;P)'!Q55="Yes",
        INDEX('FF Adj Parameters'!$B$42:$B$47,2),
    1.00)</f>
        <v/>
      </c>
      <c r="P55" s="21">
        <f>IF('Loan Tape (S&amp;P)'!P55="Yes",
        INDEX('FF Adj Parameters'!$B$42:$B$47,3),
    1.00)</f>
        <v/>
      </c>
      <c r="Q55" s="21">
        <f>IF('Loan Tape (S&amp;P)'!O55="Yes",
        INDEX('FF Adj Parameters'!$B$42:$B$47,4),
    1.00)</f>
        <v/>
      </c>
      <c r="R55" s="21">
        <f>IFERROR(
        LET(
            is_btl,'Loan Tape (S&amp;P)'!L55="BTL",
            is_self_cert,'Loan Tape (S&amp;P)'!AO55="Yes",
            is_performing,'Loan Tape (S&amp;P)'!AK55=0,
            IF(OR(is_btl,NOT(is_self_cert)),1.00,
                IF(is_performing,
                    LET(
                        months,('Control Panel'!$B$10-'Loan Tape (S&amp;P)'!F55)*12,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5" s="21">
        <f>IF('Loan Tape (S&amp;P)'!Q55="Yes",1.00,
        IF('Loan Tape (S&amp;P)'!AQ55="Yes",
            INDEX('FF Adj Parameters'!$B$42:$B$47,5),
        1.00))</f>
        <v/>
      </c>
      <c r="T55" s="21">
        <f>IFERROR(
        IF('Loan Tape (S&amp;P)'!N55&lt;&gt;"Interest Only",1.00,
            IF('Loan Tape (S&amp;P)'!L55="BTL",1.00,
                LET(
                    years_to_mat,('Loan Tape (S&amp;P)'!G55-'Control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5" s="21">
        <f>IF('Loan Tape (S&amp;P)'!L55="BTL",1.00,
        IF('Loan Tape (S&amp;P)'!X55="Yes",
            INDEX('FF Adj Parameters'!$B$58:$B$58,1),
        1.00))</f>
        <v/>
      </c>
      <c r="V55" s="21">
        <f>IF('Loan Tape (S&amp;P)'!AU55="Yes",
        INDEX('FF Adj Parameters'!$B$42:$B$47,6),
    1.00)</f>
        <v/>
      </c>
      <c r="W55" s="23">
        <f>IFERROR(
        LET(
            ccj_count,'Loan Tape (S&amp;P)'!AD55,
            ccj_value,'Loan Tape (S&amp;P)'!AG55,
            ccj_date,'Loan Tape (S&amp;P)'!AH55,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5" s="21">
        <f>1.00</f>
        <v/>
      </c>
      <c r="Y55" s="21">
        <f>IFERROR(
        IF('Loan Tape (S&amp;P)'!AR55="Yes",
            LET(
                months_since,('Control Panel'!$B$10-'Loan Tape (S&amp;P)'!AS55)/30.44,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IFERROR(
        LET(
            is_btl,'Loan Tape (S&amp;P)'!L56="BTL",
            seasoning_months,('Control Panel'!$B$10-'Loan Tape (S&amp;P)'!F56)*12,
            threshold_months,VLOOKUP('Control Panel'!$B$6,'Jurisdiction Parameters'!$A:$F,6,FALSE),
            num_borr,'Loan Tape (S&amp;P)'!T56,
            balance,'Loan Tape (S&amp;P)'!B56,
            borr1_inc,'Loan Tape (S&amp;P)'!R56,
            borr2_inc,'Loan Tape (S&amp;P)'!S56,
            total_inc,'Loan Tape (S&amp;P)'!U56,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6" s="21">
        <f>IFERROR(
        IF('Loan Tape (S&amp;P)'!L56="BTL",
            LET(
                rental,'Loan Tape (S&amp;P)'!AV56,
                balance,'Loan Tape (S&amp;P)'!B56,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6" s="21">
        <f>IFERROR(
        IF('Loan Tape (S&amp;P)'!AS56="First",
            INDEX('FF Adj Parameters'!$B$20:$B$22,1),
            IF('Loan Tape (S&amp;P)'!AS56="Second",
                INDEX('FF Adj Parameters'!$B$20:$B$22,2),
                INDEX('FF Adj Parameters'!$B$20:$B$22,3)
            )
        ),
    1)</f>
        <v/>
      </c>
      <c r="K56" s="21">
        <f>IFERROR(
        IF('Loan Tape (S&amp;P)'!AS56&lt;&gt;"First",1.00,
            IF('Loan Tape (S&amp;P)'!M56="Cash-out",
                INDEX('FF Adj Parameters'!$B$26:$B$28,3),
            1.00)
        ),
    1)</f>
        <v/>
      </c>
      <c r="L56" s="21">
        <f>IFERROR(
        LET(
            arr_months,'Loan Tape (S&amp;P)'!AK56,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6" s="21">
        <f>IFERROR(
        IF('Loan Tape (S&amp;P)'!AK56=0,
            LET(
                years,('Control Panel'!$B$10-'Loan Tape (S&amp;P)'!F56)/365.25,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6" s="21">
        <f>IFERROR(
        LET(
            is_btl,'Loan Tape (S&amp;P)'!L56="BTL",
            is_htb,'Loan Tape (S&amp;P)'!Q56="Yes",
            is_ftb,'Loan Tape (S&amp;P)'!AP56="Yes",
            seasoning_months,('Control Panel'!$B$10-'Loan Tape (S&amp;P)'!F56)*12,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6" s="21">
        <f>IF('Loan Tape (S&amp;P)'!Q56="Yes",
        INDEX('FF Adj Parameters'!$B$42:$B$47,2),
    1.00)</f>
        <v/>
      </c>
      <c r="P56" s="21">
        <f>IF('Loan Tape (S&amp;P)'!P56="Yes",
        INDEX('FF Adj Parameters'!$B$42:$B$47,3),
    1.00)</f>
        <v/>
      </c>
      <c r="Q56" s="21">
        <f>IF('Loan Tape (S&amp;P)'!O56="Yes",
        INDEX('FF Adj Parameters'!$B$42:$B$47,4),
    1.00)</f>
        <v/>
      </c>
      <c r="R56" s="21">
        <f>IFERROR(
        LET(
            is_btl,'Loan Tape (S&amp;P)'!L56="BTL",
            is_self_cert,'Loan Tape (S&amp;P)'!AO56="Yes",
            is_performing,'Loan Tape (S&amp;P)'!AK56=0,
            IF(OR(is_btl,NOT(is_self_cert)),1.00,
                IF(is_performing,
                    LET(
                        months,('Control Panel'!$B$10-'Loan Tape (S&amp;P)'!F56)*12,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6" s="21">
        <f>IF('Loan Tape (S&amp;P)'!Q56="Yes",1.00,
        IF('Loan Tape (S&amp;P)'!AQ56="Yes",
            INDEX('FF Adj Parameters'!$B$42:$B$47,5),
        1.00))</f>
        <v/>
      </c>
      <c r="T56" s="21">
        <f>IFERROR(
        IF('Loan Tape (S&amp;P)'!N56&lt;&gt;"Interest Only",1.00,
            IF('Loan Tape (S&amp;P)'!L56="BTL",1.00,
                LET(
                    years_to_mat,('Loan Tape (S&amp;P)'!G56-'Control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6" s="21">
        <f>IF('Loan Tape (S&amp;P)'!L56="BTL",1.00,
        IF('Loan Tape (S&amp;P)'!X56="Yes",
            INDEX('FF Adj Parameters'!$B$58:$B$58,1),
        1.00))</f>
        <v/>
      </c>
      <c r="V56" s="21">
        <f>IF('Loan Tape (S&amp;P)'!AU56="Yes",
        INDEX('FF Adj Parameters'!$B$42:$B$47,6),
    1.00)</f>
        <v/>
      </c>
      <c r="W56" s="23">
        <f>IFERROR(
        LET(
            ccj_count,'Loan Tape (S&amp;P)'!AD56,
            ccj_value,'Loan Tape (S&amp;P)'!AG56,
            ccj_date,'Loan Tape (S&amp;P)'!AH56,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6" s="21">
        <f>1.00</f>
        <v/>
      </c>
      <c r="Y56" s="21">
        <f>IFERROR(
        IF('Loan Tape (S&amp;P)'!AR56="Yes",
            LET(
                months_since,('Control Panel'!$B$10-'Loan Tape (S&amp;P)'!AS56)/30.44,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IFERROR(
        LET(
            is_btl,'Loan Tape (S&amp;P)'!L57="BTL",
            seasoning_months,('Control Panel'!$B$10-'Loan Tape (S&amp;P)'!F57)*12,
            threshold_months,VLOOKUP('Control Panel'!$B$6,'Jurisdiction Parameters'!$A:$F,6,FALSE),
            num_borr,'Loan Tape (S&amp;P)'!T57,
            balance,'Loan Tape (S&amp;P)'!B57,
            borr1_inc,'Loan Tape (S&amp;P)'!R57,
            borr2_inc,'Loan Tape (S&amp;P)'!S57,
            total_inc,'Loan Tape (S&amp;P)'!U57,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7" s="21">
        <f>IFERROR(
        IF('Loan Tape (S&amp;P)'!L57="BTL",
            LET(
                rental,'Loan Tape (S&amp;P)'!AV57,
                balance,'Loan Tape (S&amp;P)'!B57,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7" s="21">
        <f>IFERROR(
        IF('Loan Tape (S&amp;P)'!AS57="First",
            INDEX('FF Adj Parameters'!$B$20:$B$22,1),
            IF('Loan Tape (S&amp;P)'!AS57="Second",
                INDEX('FF Adj Parameters'!$B$20:$B$22,2),
                INDEX('FF Adj Parameters'!$B$20:$B$22,3)
            )
        ),
    1)</f>
        <v/>
      </c>
      <c r="K57" s="21">
        <f>IFERROR(
        IF('Loan Tape (S&amp;P)'!AS57&lt;&gt;"First",1.00,
            IF('Loan Tape (S&amp;P)'!M57="Cash-out",
                INDEX('FF Adj Parameters'!$B$26:$B$28,3),
            1.00)
        ),
    1)</f>
        <v/>
      </c>
      <c r="L57" s="21">
        <f>IFERROR(
        LET(
            arr_months,'Loan Tape (S&amp;P)'!AK57,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7" s="21">
        <f>IFERROR(
        IF('Loan Tape (S&amp;P)'!AK57=0,
            LET(
                years,('Control Panel'!$B$10-'Loan Tape (S&amp;P)'!F57)/365.25,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7" s="21">
        <f>IFERROR(
        LET(
            is_btl,'Loan Tape (S&amp;P)'!L57="BTL",
            is_htb,'Loan Tape (S&amp;P)'!Q57="Yes",
            is_ftb,'Loan Tape (S&amp;P)'!AP57="Yes",
            seasoning_months,('Control Panel'!$B$10-'Loan Tape (S&amp;P)'!F57)*12,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7" s="21">
        <f>IF('Loan Tape (S&amp;P)'!Q57="Yes",
        INDEX('FF Adj Parameters'!$B$42:$B$47,2),
    1.00)</f>
        <v/>
      </c>
      <c r="P57" s="21">
        <f>IF('Loan Tape (S&amp;P)'!P57="Yes",
        INDEX('FF Adj Parameters'!$B$42:$B$47,3),
    1.00)</f>
        <v/>
      </c>
      <c r="Q57" s="21">
        <f>IF('Loan Tape (S&amp;P)'!O57="Yes",
        INDEX('FF Adj Parameters'!$B$42:$B$47,4),
    1.00)</f>
        <v/>
      </c>
      <c r="R57" s="21">
        <f>IFERROR(
        LET(
            is_btl,'Loan Tape (S&amp;P)'!L57="BTL",
            is_self_cert,'Loan Tape (S&amp;P)'!AO57="Yes",
            is_performing,'Loan Tape (S&amp;P)'!AK57=0,
            IF(OR(is_btl,NOT(is_self_cert)),1.00,
                IF(is_performing,
                    LET(
                        months,('Control Panel'!$B$10-'Loan Tape (S&amp;P)'!F57)*12,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7" s="21">
        <f>IF('Loan Tape (S&amp;P)'!Q57="Yes",1.00,
        IF('Loan Tape (S&amp;P)'!AQ57="Yes",
            INDEX('FF Adj Parameters'!$B$42:$B$47,5),
        1.00))</f>
        <v/>
      </c>
      <c r="T57" s="21">
        <f>IFERROR(
        IF('Loan Tape (S&amp;P)'!N57&lt;&gt;"Interest Only",1.00,
            IF('Loan Tape (S&amp;P)'!L57="BTL",1.00,
                LET(
                    years_to_mat,('Loan Tape (S&amp;P)'!G57-'Control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7" s="21">
        <f>IF('Loan Tape (S&amp;P)'!L57="BTL",1.00,
        IF('Loan Tape (S&amp;P)'!X57="Yes",
            INDEX('FF Adj Parameters'!$B$58:$B$58,1),
        1.00))</f>
        <v/>
      </c>
      <c r="V57" s="21">
        <f>IF('Loan Tape (S&amp;P)'!AU57="Yes",
        INDEX('FF Adj Parameters'!$B$42:$B$47,6),
    1.00)</f>
        <v/>
      </c>
      <c r="W57" s="23">
        <f>IFERROR(
        LET(
            ccj_count,'Loan Tape (S&amp;P)'!AD57,
            ccj_value,'Loan Tape (S&amp;P)'!AG57,
            ccj_date,'Loan Tape (S&amp;P)'!AH57,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7" s="21">
        <f>1.00</f>
        <v/>
      </c>
      <c r="Y57" s="21">
        <f>IFERROR(
        IF('Loan Tape (S&amp;P)'!AR57="Yes",
            LET(
                months_since,('Control Panel'!$B$10-'Loan Tape (S&amp;P)'!AS57)/30.44,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IFERROR(
        LET(
            is_btl,'Loan Tape (S&amp;P)'!L58="BTL",
            seasoning_months,('Control Panel'!$B$10-'Loan Tape (S&amp;P)'!F58)*12,
            threshold_months,VLOOKUP('Control Panel'!$B$6,'Jurisdiction Parameters'!$A:$F,6,FALSE),
            num_borr,'Loan Tape (S&amp;P)'!T58,
            balance,'Loan Tape (S&amp;P)'!B58,
            borr1_inc,'Loan Tape (S&amp;P)'!R58,
            borr2_inc,'Loan Tape (S&amp;P)'!S58,
            total_inc,'Loan Tape (S&amp;P)'!U58,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8" s="21">
        <f>IFERROR(
        IF('Loan Tape (S&amp;P)'!L58="BTL",
            LET(
                rental,'Loan Tape (S&amp;P)'!AV58,
                balance,'Loan Tape (S&amp;P)'!B58,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8" s="21">
        <f>IFERROR(
        IF('Loan Tape (S&amp;P)'!AS58="First",
            INDEX('FF Adj Parameters'!$B$20:$B$22,1),
            IF('Loan Tape (S&amp;P)'!AS58="Second",
                INDEX('FF Adj Parameters'!$B$20:$B$22,2),
                INDEX('FF Adj Parameters'!$B$20:$B$22,3)
            )
        ),
    1)</f>
        <v/>
      </c>
      <c r="K58" s="21">
        <f>IFERROR(
        IF('Loan Tape (S&amp;P)'!AS58&lt;&gt;"First",1.00,
            IF('Loan Tape (S&amp;P)'!M58="Cash-out",
                INDEX('FF Adj Parameters'!$B$26:$B$28,3),
            1.00)
        ),
    1)</f>
        <v/>
      </c>
      <c r="L58" s="21">
        <f>IFERROR(
        LET(
            arr_months,'Loan Tape (S&amp;P)'!AK58,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8" s="21">
        <f>IFERROR(
        IF('Loan Tape (S&amp;P)'!AK58=0,
            LET(
                years,('Control Panel'!$B$10-'Loan Tape (S&amp;P)'!F58)/365.25,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8" s="21">
        <f>IFERROR(
        LET(
            is_btl,'Loan Tape (S&amp;P)'!L58="BTL",
            is_htb,'Loan Tape (S&amp;P)'!Q58="Yes",
            is_ftb,'Loan Tape (S&amp;P)'!AP58="Yes",
            seasoning_months,('Control Panel'!$B$10-'Loan Tape (S&amp;P)'!F58)*12,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8" s="21">
        <f>IF('Loan Tape (S&amp;P)'!Q58="Yes",
        INDEX('FF Adj Parameters'!$B$42:$B$47,2),
    1.00)</f>
        <v/>
      </c>
      <c r="P58" s="21">
        <f>IF('Loan Tape (S&amp;P)'!P58="Yes",
        INDEX('FF Adj Parameters'!$B$42:$B$47,3),
    1.00)</f>
        <v/>
      </c>
      <c r="Q58" s="21">
        <f>IF('Loan Tape (S&amp;P)'!O58="Yes",
        INDEX('FF Adj Parameters'!$B$42:$B$47,4),
    1.00)</f>
        <v/>
      </c>
      <c r="R58" s="21">
        <f>IFERROR(
        LET(
            is_btl,'Loan Tape (S&amp;P)'!L58="BTL",
            is_self_cert,'Loan Tape (S&amp;P)'!AO58="Yes",
            is_performing,'Loan Tape (S&amp;P)'!AK58=0,
            IF(OR(is_btl,NOT(is_self_cert)),1.00,
                IF(is_performing,
                    LET(
                        months,('Control Panel'!$B$10-'Loan Tape (S&amp;P)'!F58)*12,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8" s="21">
        <f>IF('Loan Tape (S&amp;P)'!Q58="Yes",1.00,
        IF('Loan Tape (S&amp;P)'!AQ58="Yes",
            INDEX('FF Adj Parameters'!$B$42:$B$47,5),
        1.00))</f>
        <v/>
      </c>
      <c r="T58" s="21">
        <f>IFERROR(
        IF('Loan Tape (S&amp;P)'!N58&lt;&gt;"Interest Only",1.00,
            IF('Loan Tape (S&amp;P)'!L58="BTL",1.00,
                LET(
                    years_to_mat,('Loan Tape (S&amp;P)'!G58-'Control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8" s="21">
        <f>IF('Loan Tape (S&amp;P)'!L58="BTL",1.00,
        IF('Loan Tape (S&amp;P)'!X58="Yes",
            INDEX('FF Adj Parameters'!$B$58:$B$58,1),
        1.00))</f>
        <v/>
      </c>
      <c r="V58" s="21">
        <f>IF('Loan Tape (S&amp;P)'!AU58="Yes",
        INDEX('FF Adj Parameters'!$B$42:$B$47,6),
    1.00)</f>
        <v/>
      </c>
      <c r="W58" s="23">
        <f>IFERROR(
        LET(
            ccj_count,'Loan Tape (S&amp;P)'!AD58,
            ccj_value,'Loan Tape (S&amp;P)'!AG58,
            ccj_date,'Loan Tape (S&amp;P)'!AH58,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8" s="21">
        <f>1.00</f>
        <v/>
      </c>
      <c r="Y58" s="21">
        <f>IFERROR(
        IF('Loan Tape (S&amp;P)'!AR58="Yes",
            LET(
                months_since,('Control Panel'!$B$10-'Loan Tape (S&amp;P)'!AS58)/30.44,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IFERROR(
        LET(
            is_btl,'Loan Tape (S&amp;P)'!L59="BTL",
            seasoning_months,('Control Panel'!$B$10-'Loan Tape (S&amp;P)'!F59)*12,
            threshold_months,VLOOKUP('Control Panel'!$B$6,'Jurisdiction Parameters'!$A:$F,6,FALSE),
            num_borr,'Loan Tape (S&amp;P)'!T59,
            balance,'Loan Tape (S&amp;P)'!B59,
            borr1_inc,'Loan Tape (S&amp;P)'!R59,
            borr2_inc,'Loan Tape (S&amp;P)'!S59,
            total_inc,'Loan Tape (S&amp;P)'!U59,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59" s="21">
        <f>IFERROR(
        IF('Loan Tape (S&amp;P)'!L59="BTL",
            LET(
                rental,'Loan Tape (S&amp;P)'!AV59,
                balance,'Loan Tape (S&amp;P)'!B59,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59" s="21">
        <f>IFERROR(
        IF('Loan Tape (S&amp;P)'!AS59="First",
            INDEX('FF Adj Parameters'!$B$20:$B$22,1),
            IF('Loan Tape (S&amp;P)'!AS59="Second",
                INDEX('FF Adj Parameters'!$B$20:$B$22,2),
                INDEX('FF Adj Parameters'!$B$20:$B$22,3)
            )
        ),
    1)</f>
        <v/>
      </c>
      <c r="K59" s="21">
        <f>IFERROR(
        IF('Loan Tape (S&amp;P)'!AS59&lt;&gt;"First",1.00,
            IF('Loan Tape (S&amp;P)'!M59="Cash-out",
                INDEX('FF Adj Parameters'!$B$26:$B$28,3),
            1.00)
        ),
    1)</f>
        <v/>
      </c>
      <c r="L59" s="21">
        <f>IFERROR(
        LET(
            arr_months,'Loan Tape (S&amp;P)'!AK59,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59" s="21">
        <f>IFERROR(
        IF('Loan Tape (S&amp;P)'!AK59=0,
            LET(
                years,('Control Panel'!$B$10-'Loan Tape (S&amp;P)'!F59)/365.25,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59" s="21">
        <f>IFERROR(
        LET(
            is_btl,'Loan Tape (S&amp;P)'!L59="BTL",
            is_htb,'Loan Tape (S&amp;P)'!Q59="Yes",
            is_ftb,'Loan Tape (S&amp;P)'!AP59="Yes",
            seasoning_months,('Control Panel'!$B$10-'Loan Tape (S&amp;P)'!F59)*12,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59" s="21">
        <f>IF('Loan Tape (S&amp;P)'!Q59="Yes",
        INDEX('FF Adj Parameters'!$B$42:$B$47,2),
    1.00)</f>
        <v/>
      </c>
      <c r="P59" s="21">
        <f>IF('Loan Tape (S&amp;P)'!P59="Yes",
        INDEX('FF Adj Parameters'!$B$42:$B$47,3),
    1.00)</f>
        <v/>
      </c>
      <c r="Q59" s="21">
        <f>IF('Loan Tape (S&amp;P)'!O59="Yes",
        INDEX('FF Adj Parameters'!$B$42:$B$47,4),
    1.00)</f>
        <v/>
      </c>
      <c r="R59" s="21">
        <f>IFERROR(
        LET(
            is_btl,'Loan Tape (S&amp;P)'!L59="BTL",
            is_self_cert,'Loan Tape (S&amp;P)'!AO59="Yes",
            is_performing,'Loan Tape (S&amp;P)'!AK59=0,
            IF(OR(is_btl,NOT(is_self_cert)),1.00,
                IF(is_performing,
                    LET(
                        months,('Control Panel'!$B$10-'Loan Tape (S&amp;P)'!F59)*12,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59" s="21">
        <f>IF('Loan Tape (S&amp;P)'!Q59="Yes",1.00,
        IF('Loan Tape (S&amp;P)'!AQ59="Yes",
            INDEX('FF Adj Parameters'!$B$42:$B$47,5),
        1.00))</f>
        <v/>
      </c>
      <c r="T59" s="21">
        <f>IFERROR(
        IF('Loan Tape (S&amp;P)'!N59&lt;&gt;"Interest Only",1.00,
            IF('Loan Tape (S&amp;P)'!L59="BTL",1.00,
                LET(
                    years_to_mat,('Loan Tape (S&amp;P)'!G59-'Control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59" s="21">
        <f>IF('Loan Tape (S&amp;P)'!L59="BTL",1.00,
        IF('Loan Tape (S&amp;P)'!X59="Yes",
            INDEX('FF Adj Parameters'!$B$58:$B$58,1),
        1.00))</f>
        <v/>
      </c>
      <c r="V59" s="21">
        <f>IF('Loan Tape (S&amp;P)'!AU59="Yes",
        INDEX('FF Adj Parameters'!$B$42:$B$47,6),
    1.00)</f>
        <v/>
      </c>
      <c r="W59" s="23">
        <f>IFERROR(
        LET(
            ccj_count,'Loan Tape (S&amp;P)'!AD59,
            ccj_value,'Loan Tape (S&amp;P)'!AG59,
            ccj_date,'Loan Tape (S&amp;P)'!AH59,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59" s="21">
        <f>1.00</f>
        <v/>
      </c>
      <c r="Y59" s="21">
        <f>IFERROR(
        IF('Loan Tape (S&amp;P)'!AR59="Yes",
            LET(
                months_since,('Control Panel'!$B$10-'Loan Tape (S&amp;P)'!AS59)/30.44,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IFERROR(
        LET(
            is_btl,'Loan Tape (S&amp;P)'!L60="BTL",
            seasoning_months,('Control Panel'!$B$10-'Loan Tape (S&amp;P)'!F60)*12,
            threshold_months,VLOOKUP('Control Panel'!$B$6,'Jurisdiction Parameters'!$A:$F,6,FALSE),
            num_borr,'Loan Tape (S&amp;P)'!T60,
            balance,'Loan Tape (S&amp;P)'!B60,
            borr1_inc,'Loan Tape (S&amp;P)'!R60,
            borr2_inc,'Loan Tape (S&amp;P)'!S60,
            total_inc,'Loan Tape (S&amp;P)'!U60,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0" s="21">
        <f>IFERROR(
        IF('Loan Tape (S&amp;P)'!L60="BTL",
            LET(
                rental,'Loan Tape (S&amp;P)'!AV60,
                balance,'Loan Tape (S&amp;P)'!B60,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0" s="21">
        <f>IFERROR(
        IF('Loan Tape (S&amp;P)'!AS60="First",
            INDEX('FF Adj Parameters'!$B$20:$B$22,1),
            IF('Loan Tape (S&amp;P)'!AS60="Second",
                INDEX('FF Adj Parameters'!$B$20:$B$22,2),
                INDEX('FF Adj Parameters'!$B$20:$B$22,3)
            )
        ),
    1)</f>
        <v/>
      </c>
      <c r="K60" s="21">
        <f>IFERROR(
        IF('Loan Tape (S&amp;P)'!AS60&lt;&gt;"First",1.00,
            IF('Loan Tape (S&amp;P)'!M60="Cash-out",
                INDEX('FF Adj Parameters'!$B$26:$B$28,3),
            1.00)
        ),
    1)</f>
        <v/>
      </c>
      <c r="L60" s="21">
        <f>IFERROR(
        LET(
            arr_months,'Loan Tape (S&amp;P)'!AK60,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0" s="21">
        <f>IFERROR(
        IF('Loan Tape (S&amp;P)'!AK60=0,
            LET(
                years,('Control Panel'!$B$10-'Loan Tape (S&amp;P)'!F60)/365.25,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0" s="21">
        <f>IFERROR(
        LET(
            is_btl,'Loan Tape (S&amp;P)'!L60="BTL",
            is_htb,'Loan Tape (S&amp;P)'!Q60="Yes",
            is_ftb,'Loan Tape (S&amp;P)'!AP60="Yes",
            seasoning_months,('Control Panel'!$B$10-'Loan Tape (S&amp;P)'!F60)*12,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0" s="21">
        <f>IF('Loan Tape (S&amp;P)'!Q60="Yes",
        INDEX('FF Adj Parameters'!$B$42:$B$47,2),
    1.00)</f>
        <v/>
      </c>
      <c r="P60" s="21">
        <f>IF('Loan Tape (S&amp;P)'!P60="Yes",
        INDEX('FF Adj Parameters'!$B$42:$B$47,3),
    1.00)</f>
        <v/>
      </c>
      <c r="Q60" s="21">
        <f>IF('Loan Tape (S&amp;P)'!O60="Yes",
        INDEX('FF Adj Parameters'!$B$42:$B$47,4),
    1.00)</f>
        <v/>
      </c>
      <c r="R60" s="21">
        <f>IFERROR(
        LET(
            is_btl,'Loan Tape (S&amp;P)'!L60="BTL",
            is_self_cert,'Loan Tape (S&amp;P)'!AO60="Yes",
            is_performing,'Loan Tape (S&amp;P)'!AK60=0,
            IF(OR(is_btl,NOT(is_self_cert)),1.00,
                IF(is_performing,
                    LET(
                        months,('Control Panel'!$B$10-'Loan Tape (S&amp;P)'!F60)*12,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0" s="21">
        <f>IF('Loan Tape (S&amp;P)'!Q60="Yes",1.00,
        IF('Loan Tape (S&amp;P)'!AQ60="Yes",
            INDEX('FF Adj Parameters'!$B$42:$B$47,5),
        1.00))</f>
        <v/>
      </c>
      <c r="T60" s="21">
        <f>IFERROR(
        IF('Loan Tape (S&amp;P)'!N60&lt;&gt;"Interest Only",1.00,
            IF('Loan Tape (S&amp;P)'!L60="BTL",1.00,
                LET(
                    years_to_mat,('Loan Tape (S&amp;P)'!G60-'Control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0" s="21">
        <f>IF('Loan Tape (S&amp;P)'!L60="BTL",1.00,
        IF('Loan Tape (S&amp;P)'!X60="Yes",
            INDEX('FF Adj Parameters'!$B$58:$B$58,1),
        1.00))</f>
        <v/>
      </c>
      <c r="V60" s="21">
        <f>IF('Loan Tape (S&amp;P)'!AU60="Yes",
        INDEX('FF Adj Parameters'!$B$42:$B$47,6),
    1.00)</f>
        <v/>
      </c>
      <c r="W60" s="23">
        <f>IFERROR(
        LET(
            ccj_count,'Loan Tape (S&amp;P)'!AD60,
            ccj_value,'Loan Tape (S&amp;P)'!AG60,
            ccj_date,'Loan Tape (S&amp;P)'!AH60,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0" s="21">
        <f>1.00</f>
        <v/>
      </c>
      <c r="Y60" s="21">
        <f>IFERROR(
        IF('Loan Tape (S&amp;P)'!AR60="Yes",
            LET(
                months_since,('Control Panel'!$B$10-'Loan Tape (S&amp;P)'!AS60)/30.44,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IFERROR(
        LET(
            is_btl,'Loan Tape (S&amp;P)'!L61="BTL",
            seasoning_months,('Control Panel'!$B$10-'Loan Tape (S&amp;P)'!F61)*12,
            threshold_months,VLOOKUP('Control Panel'!$B$6,'Jurisdiction Parameters'!$A:$F,6,FALSE),
            num_borr,'Loan Tape (S&amp;P)'!T61,
            balance,'Loan Tape (S&amp;P)'!B61,
            borr1_inc,'Loan Tape (S&amp;P)'!R61,
            borr2_inc,'Loan Tape (S&amp;P)'!S61,
            total_inc,'Loan Tape (S&amp;P)'!U61,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1" s="21">
        <f>IFERROR(
        IF('Loan Tape (S&amp;P)'!L61="BTL",
            LET(
                rental,'Loan Tape (S&amp;P)'!AV61,
                balance,'Loan Tape (S&amp;P)'!B61,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1" s="21">
        <f>IFERROR(
        IF('Loan Tape (S&amp;P)'!AS61="First",
            INDEX('FF Adj Parameters'!$B$20:$B$22,1),
            IF('Loan Tape (S&amp;P)'!AS61="Second",
                INDEX('FF Adj Parameters'!$B$20:$B$22,2),
                INDEX('FF Adj Parameters'!$B$20:$B$22,3)
            )
        ),
    1)</f>
        <v/>
      </c>
      <c r="K61" s="21">
        <f>IFERROR(
        IF('Loan Tape (S&amp;P)'!AS61&lt;&gt;"First",1.00,
            IF('Loan Tape (S&amp;P)'!M61="Cash-out",
                INDEX('FF Adj Parameters'!$B$26:$B$28,3),
            1.00)
        ),
    1)</f>
        <v/>
      </c>
      <c r="L61" s="21">
        <f>IFERROR(
        LET(
            arr_months,'Loan Tape (S&amp;P)'!AK61,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1" s="21">
        <f>IFERROR(
        IF('Loan Tape (S&amp;P)'!AK61=0,
            LET(
                years,('Control Panel'!$B$10-'Loan Tape (S&amp;P)'!F61)/365.25,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1" s="21">
        <f>IFERROR(
        LET(
            is_btl,'Loan Tape (S&amp;P)'!L61="BTL",
            is_htb,'Loan Tape (S&amp;P)'!Q61="Yes",
            is_ftb,'Loan Tape (S&amp;P)'!AP61="Yes",
            seasoning_months,('Control Panel'!$B$10-'Loan Tape (S&amp;P)'!F61)*12,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1" s="21">
        <f>IF('Loan Tape (S&amp;P)'!Q61="Yes",
        INDEX('FF Adj Parameters'!$B$42:$B$47,2),
    1.00)</f>
        <v/>
      </c>
      <c r="P61" s="21">
        <f>IF('Loan Tape (S&amp;P)'!P61="Yes",
        INDEX('FF Adj Parameters'!$B$42:$B$47,3),
    1.00)</f>
        <v/>
      </c>
      <c r="Q61" s="21">
        <f>IF('Loan Tape (S&amp;P)'!O61="Yes",
        INDEX('FF Adj Parameters'!$B$42:$B$47,4),
    1.00)</f>
        <v/>
      </c>
      <c r="R61" s="21">
        <f>IFERROR(
        LET(
            is_btl,'Loan Tape (S&amp;P)'!L61="BTL",
            is_self_cert,'Loan Tape (S&amp;P)'!AO61="Yes",
            is_performing,'Loan Tape (S&amp;P)'!AK61=0,
            IF(OR(is_btl,NOT(is_self_cert)),1.00,
                IF(is_performing,
                    LET(
                        months,('Control Panel'!$B$10-'Loan Tape (S&amp;P)'!F61)*12,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1" s="21">
        <f>IF('Loan Tape (S&amp;P)'!Q61="Yes",1.00,
        IF('Loan Tape (S&amp;P)'!AQ61="Yes",
            INDEX('FF Adj Parameters'!$B$42:$B$47,5),
        1.00))</f>
        <v/>
      </c>
      <c r="T61" s="21">
        <f>IFERROR(
        IF('Loan Tape (S&amp;P)'!N61&lt;&gt;"Interest Only",1.00,
            IF('Loan Tape (S&amp;P)'!L61="BTL",1.00,
                LET(
                    years_to_mat,('Loan Tape (S&amp;P)'!G61-'Control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1" s="21">
        <f>IF('Loan Tape (S&amp;P)'!L61="BTL",1.00,
        IF('Loan Tape (S&amp;P)'!X61="Yes",
            INDEX('FF Adj Parameters'!$B$58:$B$58,1),
        1.00))</f>
        <v/>
      </c>
      <c r="V61" s="21">
        <f>IF('Loan Tape (S&amp;P)'!AU61="Yes",
        INDEX('FF Adj Parameters'!$B$42:$B$47,6),
    1.00)</f>
        <v/>
      </c>
      <c r="W61" s="23">
        <f>IFERROR(
        LET(
            ccj_count,'Loan Tape (S&amp;P)'!AD61,
            ccj_value,'Loan Tape (S&amp;P)'!AG61,
            ccj_date,'Loan Tape (S&amp;P)'!AH61,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1" s="21">
        <f>1.00</f>
        <v/>
      </c>
      <c r="Y61" s="21">
        <f>IFERROR(
        IF('Loan Tape (S&amp;P)'!AR61="Yes",
            LET(
                months_since,('Control Panel'!$B$10-'Loan Tape (S&amp;P)'!AS61)/30.44,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IFERROR(
        LET(
            is_btl,'Loan Tape (S&amp;P)'!L62="BTL",
            seasoning_months,('Control Panel'!$B$10-'Loan Tape (S&amp;P)'!F62)*12,
            threshold_months,VLOOKUP('Control Panel'!$B$6,'Jurisdiction Parameters'!$A:$F,6,FALSE),
            num_borr,'Loan Tape (S&amp;P)'!T62,
            balance,'Loan Tape (S&amp;P)'!B62,
            borr1_inc,'Loan Tape (S&amp;P)'!R62,
            borr2_inc,'Loan Tape (S&amp;P)'!S62,
            total_inc,'Loan Tape (S&amp;P)'!U62,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2" s="21">
        <f>IFERROR(
        IF('Loan Tape (S&amp;P)'!L62="BTL",
            LET(
                rental,'Loan Tape (S&amp;P)'!AV62,
                balance,'Loan Tape (S&amp;P)'!B62,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2" s="21">
        <f>IFERROR(
        IF('Loan Tape (S&amp;P)'!AS62="First",
            INDEX('FF Adj Parameters'!$B$20:$B$22,1),
            IF('Loan Tape (S&amp;P)'!AS62="Second",
                INDEX('FF Adj Parameters'!$B$20:$B$22,2),
                INDEX('FF Adj Parameters'!$B$20:$B$22,3)
            )
        ),
    1)</f>
        <v/>
      </c>
      <c r="K62" s="21">
        <f>IFERROR(
        IF('Loan Tape (S&amp;P)'!AS62&lt;&gt;"First",1.00,
            IF('Loan Tape (S&amp;P)'!M62="Cash-out",
                INDEX('FF Adj Parameters'!$B$26:$B$28,3),
            1.00)
        ),
    1)</f>
        <v/>
      </c>
      <c r="L62" s="21">
        <f>IFERROR(
        LET(
            arr_months,'Loan Tape (S&amp;P)'!AK62,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2" s="21">
        <f>IFERROR(
        IF('Loan Tape (S&amp;P)'!AK62=0,
            LET(
                years,('Control Panel'!$B$10-'Loan Tape (S&amp;P)'!F62)/365.25,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2" s="21">
        <f>IFERROR(
        LET(
            is_btl,'Loan Tape (S&amp;P)'!L62="BTL",
            is_htb,'Loan Tape (S&amp;P)'!Q62="Yes",
            is_ftb,'Loan Tape (S&amp;P)'!AP62="Yes",
            seasoning_months,('Control Panel'!$B$10-'Loan Tape (S&amp;P)'!F62)*12,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2" s="21">
        <f>IF('Loan Tape (S&amp;P)'!Q62="Yes",
        INDEX('FF Adj Parameters'!$B$42:$B$47,2),
    1.00)</f>
        <v/>
      </c>
      <c r="P62" s="21">
        <f>IF('Loan Tape (S&amp;P)'!P62="Yes",
        INDEX('FF Adj Parameters'!$B$42:$B$47,3),
    1.00)</f>
        <v/>
      </c>
      <c r="Q62" s="21">
        <f>IF('Loan Tape (S&amp;P)'!O62="Yes",
        INDEX('FF Adj Parameters'!$B$42:$B$47,4),
    1.00)</f>
        <v/>
      </c>
      <c r="R62" s="21">
        <f>IFERROR(
        LET(
            is_btl,'Loan Tape (S&amp;P)'!L62="BTL",
            is_self_cert,'Loan Tape (S&amp;P)'!AO62="Yes",
            is_performing,'Loan Tape (S&amp;P)'!AK62=0,
            IF(OR(is_btl,NOT(is_self_cert)),1.00,
                IF(is_performing,
                    LET(
                        months,('Control Panel'!$B$10-'Loan Tape (S&amp;P)'!F62)*12,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2" s="21">
        <f>IF('Loan Tape (S&amp;P)'!Q62="Yes",1.00,
        IF('Loan Tape (S&amp;P)'!AQ62="Yes",
            INDEX('FF Adj Parameters'!$B$42:$B$47,5),
        1.00))</f>
        <v/>
      </c>
      <c r="T62" s="21">
        <f>IFERROR(
        IF('Loan Tape (S&amp;P)'!N62&lt;&gt;"Interest Only",1.00,
            IF('Loan Tape (S&amp;P)'!L62="BTL",1.00,
                LET(
                    years_to_mat,('Loan Tape (S&amp;P)'!G62-'Control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2" s="21">
        <f>IF('Loan Tape (S&amp;P)'!L62="BTL",1.00,
        IF('Loan Tape (S&amp;P)'!X62="Yes",
            INDEX('FF Adj Parameters'!$B$58:$B$58,1),
        1.00))</f>
        <v/>
      </c>
      <c r="V62" s="21">
        <f>IF('Loan Tape (S&amp;P)'!AU62="Yes",
        INDEX('FF Adj Parameters'!$B$42:$B$47,6),
    1.00)</f>
        <v/>
      </c>
      <c r="W62" s="23">
        <f>IFERROR(
        LET(
            ccj_count,'Loan Tape (S&amp;P)'!AD62,
            ccj_value,'Loan Tape (S&amp;P)'!AG62,
            ccj_date,'Loan Tape (S&amp;P)'!AH62,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2" s="21">
        <f>1.00</f>
        <v/>
      </c>
      <c r="Y62" s="21">
        <f>IFERROR(
        IF('Loan Tape (S&amp;P)'!AR62="Yes",
            LET(
                months_since,('Control Panel'!$B$10-'Loan Tape (S&amp;P)'!AS62)/30.44,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IFERROR(
        LET(
            is_btl,'Loan Tape (S&amp;P)'!L63="BTL",
            seasoning_months,('Control Panel'!$B$10-'Loan Tape (S&amp;P)'!F63)*12,
            threshold_months,VLOOKUP('Control Panel'!$B$6,'Jurisdiction Parameters'!$A:$F,6,FALSE),
            num_borr,'Loan Tape (S&amp;P)'!T63,
            balance,'Loan Tape (S&amp;P)'!B63,
            borr1_inc,'Loan Tape (S&amp;P)'!R63,
            borr2_inc,'Loan Tape (S&amp;P)'!S63,
            total_inc,'Loan Tape (S&amp;P)'!U63,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3" s="21">
        <f>IFERROR(
        IF('Loan Tape (S&amp;P)'!L63="BTL",
            LET(
                rental,'Loan Tape (S&amp;P)'!AV63,
                balance,'Loan Tape (S&amp;P)'!B63,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3" s="21">
        <f>IFERROR(
        IF('Loan Tape (S&amp;P)'!AS63="First",
            INDEX('FF Adj Parameters'!$B$20:$B$22,1),
            IF('Loan Tape (S&amp;P)'!AS63="Second",
                INDEX('FF Adj Parameters'!$B$20:$B$22,2),
                INDEX('FF Adj Parameters'!$B$20:$B$22,3)
            )
        ),
    1)</f>
        <v/>
      </c>
      <c r="K63" s="21">
        <f>IFERROR(
        IF('Loan Tape (S&amp;P)'!AS63&lt;&gt;"First",1.00,
            IF('Loan Tape (S&amp;P)'!M63="Cash-out",
                INDEX('FF Adj Parameters'!$B$26:$B$28,3),
            1.00)
        ),
    1)</f>
        <v/>
      </c>
      <c r="L63" s="21">
        <f>IFERROR(
        LET(
            arr_months,'Loan Tape (S&amp;P)'!AK63,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3" s="21">
        <f>IFERROR(
        IF('Loan Tape (S&amp;P)'!AK63=0,
            LET(
                years,('Control Panel'!$B$10-'Loan Tape (S&amp;P)'!F63)/365.25,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3" s="21">
        <f>IFERROR(
        LET(
            is_btl,'Loan Tape (S&amp;P)'!L63="BTL",
            is_htb,'Loan Tape (S&amp;P)'!Q63="Yes",
            is_ftb,'Loan Tape (S&amp;P)'!AP63="Yes",
            seasoning_months,('Control Panel'!$B$10-'Loan Tape (S&amp;P)'!F63)*12,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3" s="21">
        <f>IF('Loan Tape (S&amp;P)'!Q63="Yes",
        INDEX('FF Adj Parameters'!$B$42:$B$47,2),
    1.00)</f>
        <v/>
      </c>
      <c r="P63" s="21">
        <f>IF('Loan Tape (S&amp;P)'!P63="Yes",
        INDEX('FF Adj Parameters'!$B$42:$B$47,3),
    1.00)</f>
        <v/>
      </c>
      <c r="Q63" s="21">
        <f>IF('Loan Tape (S&amp;P)'!O63="Yes",
        INDEX('FF Adj Parameters'!$B$42:$B$47,4),
    1.00)</f>
        <v/>
      </c>
      <c r="R63" s="21">
        <f>IFERROR(
        LET(
            is_btl,'Loan Tape (S&amp;P)'!L63="BTL",
            is_self_cert,'Loan Tape (S&amp;P)'!AO63="Yes",
            is_performing,'Loan Tape (S&amp;P)'!AK63=0,
            IF(OR(is_btl,NOT(is_self_cert)),1.00,
                IF(is_performing,
                    LET(
                        months,('Control Panel'!$B$10-'Loan Tape (S&amp;P)'!F63)*12,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3" s="21">
        <f>IF('Loan Tape (S&amp;P)'!Q63="Yes",1.00,
        IF('Loan Tape (S&amp;P)'!AQ63="Yes",
            INDEX('FF Adj Parameters'!$B$42:$B$47,5),
        1.00))</f>
        <v/>
      </c>
      <c r="T63" s="21">
        <f>IFERROR(
        IF('Loan Tape (S&amp;P)'!N63&lt;&gt;"Interest Only",1.00,
            IF('Loan Tape (S&amp;P)'!L63="BTL",1.00,
                LET(
                    years_to_mat,('Loan Tape (S&amp;P)'!G63-'Control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3" s="21">
        <f>IF('Loan Tape (S&amp;P)'!L63="BTL",1.00,
        IF('Loan Tape (S&amp;P)'!X63="Yes",
            INDEX('FF Adj Parameters'!$B$58:$B$58,1),
        1.00))</f>
        <v/>
      </c>
      <c r="V63" s="21">
        <f>IF('Loan Tape (S&amp;P)'!AU63="Yes",
        INDEX('FF Adj Parameters'!$B$42:$B$47,6),
    1.00)</f>
        <v/>
      </c>
      <c r="W63" s="23">
        <f>IFERROR(
        LET(
            ccj_count,'Loan Tape (S&amp;P)'!AD63,
            ccj_value,'Loan Tape (S&amp;P)'!AG63,
            ccj_date,'Loan Tape (S&amp;P)'!AH63,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3" s="21">
        <f>1.00</f>
        <v/>
      </c>
      <c r="Y63" s="21">
        <f>IFERROR(
        IF('Loan Tape (S&amp;P)'!AR63="Yes",
            LET(
                months_since,('Control Panel'!$B$10-'Loan Tape (S&amp;P)'!AS63)/30.44,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IFERROR(
        LET(
            is_btl,'Loan Tape (S&amp;P)'!L64="BTL",
            seasoning_months,('Control Panel'!$B$10-'Loan Tape (S&amp;P)'!F64)*12,
            threshold_months,VLOOKUP('Control Panel'!$B$6,'Jurisdiction Parameters'!$A:$F,6,FALSE),
            num_borr,'Loan Tape (S&amp;P)'!T64,
            balance,'Loan Tape (S&amp;P)'!B64,
            borr1_inc,'Loan Tape (S&amp;P)'!R64,
            borr2_inc,'Loan Tape (S&amp;P)'!S64,
            total_inc,'Loan Tape (S&amp;P)'!U64,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4" s="21">
        <f>IFERROR(
        IF('Loan Tape (S&amp;P)'!L64="BTL",
            LET(
                rental,'Loan Tape (S&amp;P)'!AV64,
                balance,'Loan Tape (S&amp;P)'!B64,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4" s="21">
        <f>IFERROR(
        IF('Loan Tape (S&amp;P)'!AS64="First",
            INDEX('FF Adj Parameters'!$B$20:$B$22,1),
            IF('Loan Tape (S&amp;P)'!AS64="Second",
                INDEX('FF Adj Parameters'!$B$20:$B$22,2),
                INDEX('FF Adj Parameters'!$B$20:$B$22,3)
            )
        ),
    1)</f>
        <v/>
      </c>
      <c r="K64" s="21">
        <f>IFERROR(
        IF('Loan Tape (S&amp;P)'!AS64&lt;&gt;"First",1.00,
            IF('Loan Tape (S&amp;P)'!M64="Cash-out",
                INDEX('FF Adj Parameters'!$B$26:$B$28,3),
            1.00)
        ),
    1)</f>
        <v/>
      </c>
      <c r="L64" s="21">
        <f>IFERROR(
        LET(
            arr_months,'Loan Tape (S&amp;P)'!AK64,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4" s="21">
        <f>IFERROR(
        IF('Loan Tape (S&amp;P)'!AK64=0,
            LET(
                years,('Control Panel'!$B$10-'Loan Tape (S&amp;P)'!F64)/365.25,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4" s="21">
        <f>IFERROR(
        LET(
            is_btl,'Loan Tape (S&amp;P)'!L64="BTL",
            is_htb,'Loan Tape (S&amp;P)'!Q64="Yes",
            is_ftb,'Loan Tape (S&amp;P)'!AP64="Yes",
            seasoning_months,('Control Panel'!$B$10-'Loan Tape (S&amp;P)'!F64)*12,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4" s="21">
        <f>IF('Loan Tape (S&amp;P)'!Q64="Yes",
        INDEX('FF Adj Parameters'!$B$42:$B$47,2),
    1.00)</f>
        <v/>
      </c>
      <c r="P64" s="21">
        <f>IF('Loan Tape (S&amp;P)'!P64="Yes",
        INDEX('FF Adj Parameters'!$B$42:$B$47,3),
    1.00)</f>
        <v/>
      </c>
      <c r="Q64" s="21">
        <f>IF('Loan Tape (S&amp;P)'!O64="Yes",
        INDEX('FF Adj Parameters'!$B$42:$B$47,4),
    1.00)</f>
        <v/>
      </c>
      <c r="R64" s="21">
        <f>IFERROR(
        LET(
            is_btl,'Loan Tape (S&amp;P)'!L64="BTL",
            is_self_cert,'Loan Tape (S&amp;P)'!AO64="Yes",
            is_performing,'Loan Tape (S&amp;P)'!AK64=0,
            IF(OR(is_btl,NOT(is_self_cert)),1.00,
                IF(is_performing,
                    LET(
                        months,('Control Panel'!$B$10-'Loan Tape (S&amp;P)'!F64)*12,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4" s="21">
        <f>IF('Loan Tape (S&amp;P)'!Q64="Yes",1.00,
        IF('Loan Tape (S&amp;P)'!AQ64="Yes",
            INDEX('FF Adj Parameters'!$B$42:$B$47,5),
        1.00))</f>
        <v/>
      </c>
      <c r="T64" s="21">
        <f>IFERROR(
        IF('Loan Tape (S&amp;P)'!N64&lt;&gt;"Interest Only",1.00,
            IF('Loan Tape (S&amp;P)'!L64="BTL",1.00,
                LET(
                    years_to_mat,('Loan Tape (S&amp;P)'!G64-'Control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4" s="21">
        <f>IF('Loan Tape (S&amp;P)'!L64="BTL",1.00,
        IF('Loan Tape (S&amp;P)'!X64="Yes",
            INDEX('FF Adj Parameters'!$B$58:$B$58,1),
        1.00))</f>
        <v/>
      </c>
      <c r="V64" s="21">
        <f>IF('Loan Tape (S&amp;P)'!AU64="Yes",
        INDEX('FF Adj Parameters'!$B$42:$B$47,6),
    1.00)</f>
        <v/>
      </c>
      <c r="W64" s="23">
        <f>IFERROR(
        LET(
            ccj_count,'Loan Tape (S&amp;P)'!AD64,
            ccj_value,'Loan Tape (S&amp;P)'!AG64,
            ccj_date,'Loan Tape (S&amp;P)'!AH64,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4" s="21">
        <f>1.00</f>
        <v/>
      </c>
      <c r="Y64" s="21">
        <f>IFERROR(
        IF('Loan Tape (S&amp;P)'!AR64="Yes",
            LET(
                months_since,('Control Panel'!$B$10-'Loan Tape (S&amp;P)'!AS64)/30.44,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IFERROR(
        LET(
            is_btl,'Loan Tape (S&amp;P)'!L65="BTL",
            seasoning_months,('Control Panel'!$B$10-'Loan Tape (S&amp;P)'!F65)*12,
            threshold_months,VLOOKUP('Control Panel'!$B$6,'Jurisdiction Parameters'!$A:$F,6,FALSE),
            num_borr,'Loan Tape (S&amp;P)'!T65,
            balance,'Loan Tape (S&amp;P)'!B65,
            borr1_inc,'Loan Tape (S&amp;P)'!R65,
            borr2_inc,'Loan Tape (S&amp;P)'!S65,
            total_inc,'Loan Tape (S&amp;P)'!U65,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5" s="21">
        <f>IFERROR(
        IF('Loan Tape (S&amp;P)'!L65="BTL",
            LET(
                rental,'Loan Tape (S&amp;P)'!AV65,
                balance,'Loan Tape (S&amp;P)'!B65,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5" s="21">
        <f>IFERROR(
        IF('Loan Tape (S&amp;P)'!AS65="First",
            INDEX('FF Adj Parameters'!$B$20:$B$22,1),
            IF('Loan Tape (S&amp;P)'!AS65="Second",
                INDEX('FF Adj Parameters'!$B$20:$B$22,2),
                INDEX('FF Adj Parameters'!$B$20:$B$22,3)
            )
        ),
    1)</f>
        <v/>
      </c>
      <c r="K65" s="21">
        <f>IFERROR(
        IF('Loan Tape (S&amp;P)'!AS65&lt;&gt;"First",1.00,
            IF('Loan Tape (S&amp;P)'!M65="Cash-out",
                INDEX('FF Adj Parameters'!$B$26:$B$28,3),
            1.00)
        ),
    1)</f>
        <v/>
      </c>
      <c r="L65" s="21">
        <f>IFERROR(
        LET(
            arr_months,'Loan Tape (S&amp;P)'!AK65,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5" s="21">
        <f>IFERROR(
        IF('Loan Tape (S&amp;P)'!AK65=0,
            LET(
                years,('Control Panel'!$B$10-'Loan Tape (S&amp;P)'!F65)/365.25,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5" s="21">
        <f>IFERROR(
        LET(
            is_btl,'Loan Tape (S&amp;P)'!L65="BTL",
            is_htb,'Loan Tape (S&amp;P)'!Q65="Yes",
            is_ftb,'Loan Tape (S&amp;P)'!AP65="Yes",
            seasoning_months,('Control Panel'!$B$10-'Loan Tape (S&amp;P)'!F65)*12,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5" s="21">
        <f>IF('Loan Tape (S&amp;P)'!Q65="Yes",
        INDEX('FF Adj Parameters'!$B$42:$B$47,2),
    1.00)</f>
        <v/>
      </c>
      <c r="P65" s="21">
        <f>IF('Loan Tape (S&amp;P)'!P65="Yes",
        INDEX('FF Adj Parameters'!$B$42:$B$47,3),
    1.00)</f>
        <v/>
      </c>
      <c r="Q65" s="21">
        <f>IF('Loan Tape (S&amp;P)'!O65="Yes",
        INDEX('FF Adj Parameters'!$B$42:$B$47,4),
    1.00)</f>
        <v/>
      </c>
      <c r="R65" s="21">
        <f>IFERROR(
        LET(
            is_btl,'Loan Tape (S&amp;P)'!L65="BTL",
            is_self_cert,'Loan Tape (S&amp;P)'!AO65="Yes",
            is_performing,'Loan Tape (S&amp;P)'!AK65=0,
            IF(OR(is_btl,NOT(is_self_cert)),1.00,
                IF(is_performing,
                    LET(
                        months,('Control Panel'!$B$10-'Loan Tape (S&amp;P)'!F65)*12,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5" s="21">
        <f>IF('Loan Tape (S&amp;P)'!Q65="Yes",1.00,
        IF('Loan Tape (S&amp;P)'!AQ65="Yes",
            INDEX('FF Adj Parameters'!$B$42:$B$47,5),
        1.00))</f>
        <v/>
      </c>
      <c r="T65" s="21">
        <f>IFERROR(
        IF('Loan Tape (S&amp;P)'!N65&lt;&gt;"Interest Only",1.00,
            IF('Loan Tape (S&amp;P)'!L65="BTL",1.00,
                LET(
                    years_to_mat,('Loan Tape (S&amp;P)'!G65-'Control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5" s="21">
        <f>IF('Loan Tape (S&amp;P)'!L65="BTL",1.00,
        IF('Loan Tape (S&amp;P)'!X65="Yes",
            INDEX('FF Adj Parameters'!$B$58:$B$58,1),
        1.00))</f>
        <v/>
      </c>
      <c r="V65" s="21">
        <f>IF('Loan Tape (S&amp;P)'!AU65="Yes",
        INDEX('FF Adj Parameters'!$B$42:$B$47,6),
    1.00)</f>
        <v/>
      </c>
      <c r="W65" s="23">
        <f>IFERROR(
        LET(
            ccj_count,'Loan Tape (S&amp;P)'!AD65,
            ccj_value,'Loan Tape (S&amp;P)'!AG65,
            ccj_date,'Loan Tape (S&amp;P)'!AH65,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5" s="21">
        <f>1.00</f>
        <v/>
      </c>
      <c r="Y65" s="21">
        <f>IFERROR(
        IF('Loan Tape (S&amp;P)'!AR65="Yes",
            LET(
                months_since,('Control Panel'!$B$10-'Loan Tape (S&amp;P)'!AS65)/30.44,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IFERROR(
        LET(
            is_btl,'Loan Tape (S&amp;P)'!L66="BTL",
            seasoning_months,('Control Panel'!$B$10-'Loan Tape (S&amp;P)'!F66)*12,
            threshold_months,VLOOKUP('Control Panel'!$B$6,'Jurisdiction Parameters'!$A:$F,6,FALSE),
            num_borr,'Loan Tape (S&amp;P)'!T66,
            balance,'Loan Tape (S&amp;P)'!B66,
            borr1_inc,'Loan Tape (S&amp;P)'!R66,
            borr2_inc,'Loan Tape (S&amp;P)'!S66,
            total_inc,'Loan Tape (S&amp;P)'!U66,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6" s="21">
        <f>IFERROR(
        IF('Loan Tape (S&amp;P)'!L66="BTL",
            LET(
                rental,'Loan Tape (S&amp;P)'!AV66,
                balance,'Loan Tape (S&amp;P)'!B66,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6" s="21">
        <f>IFERROR(
        IF('Loan Tape (S&amp;P)'!AS66="First",
            INDEX('FF Adj Parameters'!$B$20:$B$22,1),
            IF('Loan Tape (S&amp;P)'!AS66="Second",
                INDEX('FF Adj Parameters'!$B$20:$B$22,2),
                INDEX('FF Adj Parameters'!$B$20:$B$22,3)
            )
        ),
    1)</f>
        <v/>
      </c>
      <c r="K66" s="21">
        <f>IFERROR(
        IF('Loan Tape (S&amp;P)'!AS66&lt;&gt;"First",1.00,
            IF('Loan Tape (S&amp;P)'!M66="Cash-out",
                INDEX('FF Adj Parameters'!$B$26:$B$28,3),
            1.00)
        ),
    1)</f>
        <v/>
      </c>
      <c r="L66" s="21">
        <f>IFERROR(
        LET(
            arr_months,'Loan Tape (S&amp;P)'!AK66,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6" s="21">
        <f>IFERROR(
        IF('Loan Tape (S&amp;P)'!AK66=0,
            LET(
                years,('Control Panel'!$B$10-'Loan Tape (S&amp;P)'!F66)/365.25,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6" s="21">
        <f>IFERROR(
        LET(
            is_btl,'Loan Tape (S&amp;P)'!L66="BTL",
            is_htb,'Loan Tape (S&amp;P)'!Q66="Yes",
            is_ftb,'Loan Tape (S&amp;P)'!AP66="Yes",
            seasoning_months,('Control Panel'!$B$10-'Loan Tape (S&amp;P)'!F66)*12,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6" s="21">
        <f>IF('Loan Tape (S&amp;P)'!Q66="Yes",
        INDEX('FF Adj Parameters'!$B$42:$B$47,2),
    1.00)</f>
        <v/>
      </c>
      <c r="P66" s="21">
        <f>IF('Loan Tape (S&amp;P)'!P66="Yes",
        INDEX('FF Adj Parameters'!$B$42:$B$47,3),
    1.00)</f>
        <v/>
      </c>
      <c r="Q66" s="21">
        <f>IF('Loan Tape (S&amp;P)'!O66="Yes",
        INDEX('FF Adj Parameters'!$B$42:$B$47,4),
    1.00)</f>
        <v/>
      </c>
      <c r="R66" s="21">
        <f>IFERROR(
        LET(
            is_btl,'Loan Tape (S&amp;P)'!L66="BTL",
            is_self_cert,'Loan Tape (S&amp;P)'!AO66="Yes",
            is_performing,'Loan Tape (S&amp;P)'!AK66=0,
            IF(OR(is_btl,NOT(is_self_cert)),1.00,
                IF(is_performing,
                    LET(
                        months,('Control Panel'!$B$10-'Loan Tape (S&amp;P)'!F66)*12,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6" s="21">
        <f>IF('Loan Tape (S&amp;P)'!Q66="Yes",1.00,
        IF('Loan Tape (S&amp;P)'!AQ66="Yes",
            INDEX('FF Adj Parameters'!$B$42:$B$47,5),
        1.00))</f>
        <v/>
      </c>
      <c r="T66" s="21">
        <f>IFERROR(
        IF('Loan Tape (S&amp;P)'!N66&lt;&gt;"Interest Only",1.00,
            IF('Loan Tape (S&amp;P)'!L66="BTL",1.00,
                LET(
                    years_to_mat,('Loan Tape (S&amp;P)'!G66-'Control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6" s="21">
        <f>IF('Loan Tape (S&amp;P)'!L66="BTL",1.00,
        IF('Loan Tape (S&amp;P)'!X66="Yes",
            INDEX('FF Adj Parameters'!$B$58:$B$58,1),
        1.00))</f>
        <v/>
      </c>
      <c r="V66" s="21">
        <f>IF('Loan Tape (S&amp;P)'!AU66="Yes",
        INDEX('FF Adj Parameters'!$B$42:$B$47,6),
    1.00)</f>
        <v/>
      </c>
      <c r="W66" s="23">
        <f>IFERROR(
        LET(
            ccj_count,'Loan Tape (S&amp;P)'!AD66,
            ccj_value,'Loan Tape (S&amp;P)'!AG66,
            ccj_date,'Loan Tape (S&amp;P)'!AH66,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6" s="21">
        <f>1.00</f>
        <v/>
      </c>
      <c r="Y66" s="21">
        <f>IFERROR(
        IF('Loan Tape (S&amp;P)'!AR66="Yes",
            LET(
                months_since,('Control Panel'!$B$10-'Loan Tape (S&amp;P)'!AS66)/30.44,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IFERROR(
        LET(
            is_btl,'Loan Tape (S&amp;P)'!L67="BTL",
            seasoning_months,('Control Panel'!$B$10-'Loan Tape (S&amp;P)'!F67)*12,
            threshold_months,VLOOKUP('Control Panel'!$B$6,'Jurisdiction Parameters'!$A:$F,6,FALSE),
            num_borr,'Loan Tape (S&amp;P)'!T67,
            balance,'Loan Tape (S&amp;P)'!B67,
            borr1_inc,'Loan Tape (S&amp;P)'!R67,
            borr2_inc,'Loan Tape (S&amp;P)'!S67,
            total_inc,'Loan Tape (S&amp;P)'!U67,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7" s="21">
        <f>IFERROR(
        IF('Loan Tape (S&amp;P)'!L67="BTL",
            LET(
                rental,'Loan Tape (S&amp;P)'!AV67,
                balance,'Loan Tape (S&amp;P)'!B67,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7" s="21">
        <f>IFERROR(
        IF('Loan Tape (S&amp;P)'!AS67="First",
            INDEX('FF Adj Parameters'!$B$20:$B$22,1),
            IF('Loan Tape (S&amp;P)'!AS67="Second",
                INDEX('FF Adj Parameters'!$B$20:$B$22,2),
                INDEX('FF Adj Parameters'!$B$20:$B$22,3)
            )
        ),
    1)</f>
        <v/>
      </c>
      <c r="K67" s="21">
        <f>IFERROR(
        IF('Loan Tape (S&amp;P)'!AS67&lt;&gt;"First",1.00,
            IF('Loan Tape (S&amp;P)'!M67="Cash-out",
                INDEX('FF Adj Parameters'!$B$26:$B$28,3),
            1.00)
        ),
    1)</f>
        <v/>
      </c>
      <c r="L67" s="21">
        <f>IFERROR(
        LET(
            arr_months,'Loan Tape (S&amp;P)'!AK67,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7" s="21">
        <f>IFERROR(
        IF('Loan Tape (S&amp;P)'!AK67=0,
            LET(
                years,('Control Panel'!$B$10-'Loan Tape (S&amp;P)'!F67)/365.25,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7" s="21">
        <f>IFERROR(
        LET(
            is_btl,'Loan Tape (S&amp;P)'!L67="BTL",
            is_htb,'Loan Tape (S&amp;P)'!Q67="Yes",
            is_ftb,'Loan Tape (S&amp;P)'!AP67="Yes",
            seasoning_months,('Control Panel'!$B$10-'Loan Tape (S&amp;P)'!F67)*12,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7" s="21">
        <f>IF('Loan Tape (S&amp;P)'!Q67="Yes",
        INDEX('FF Adj Parameters'!$B$42:$B$47,2),
    1.00)</f>
        <v/>
      </c>
      <c r="P67" s="21">
        <f>IF('Loan Tape (S&amp;P)'!P67="Yes",
        INDEX('FF Adj Parameters'!$B$42:$B$47,3),
    1.00)</f>
        <v/>
      </c>
      <c r="Q67" s="21">
        <f>IF('Loan Tape (S&amp;P)'!O67="Yes",
        INDEX('FF Adj Parameters'!$B$42:$B$47,4),
    1.00)</f>
        <v/>
      </c>
      <c r="R67" s="21">
        <f>IFERROR(
        LET(
            is_btl,'Loan Tape (S&amp;P)'!L67="BTL",
            is_self_cert,'Loan Tape (S&amp;P)'!AO67="Yes",
            is_performing,'Loan Tape (S&amp;P)'!AK67=0,
            IF(OR(is_btl,NOT(is_self_cert)),1.00,
                IF(is_performing,
                    LET(
                        months,('Control Panel'!$B$10-'Loan Tape (S&amp;P)'!F67)*12,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7" s="21">
        <f>IF('Loan Tape (S&amp;P)'!Q67="Yes",1.00,
        IF('Loan Tape (S&amp;P)'!AQ67="Yes",
            INDEX('FF Adj Parameters'!$B$42:$B$47,5),
        1.00))</f>
        <v/>
      </c>
      <c r="T67" s="21">
        <f>IFERROR(
        IF('Loan Tape (S&amp;P)'!N67&lt;&gt;"Interest Only",1.00,
            IF('Loan Tape (S&amp;P)'!L67="BTL",1.00,
                LET(
                    years_to_mat,('Loan Tape (S&amp;P)'!G67-'Control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7" s="21">
        <f>IF('Loan Tape (S&amp;P)'!L67="BTL",1.00,
        IF('Loan Tape (S&amp;P)'!X67="Yes",
            INDEX('FF Adj Parameters'!$B$58:$B$58,1),
        1.00))</f>
        <v/>
      </c>
      <c r="V67" s="21">
        <f>IF('Loan Tape (S&amp;P)'!AU67="Yes",
        INDEX('FF Adj Parameters'!$B$42:$B$47,6),
    1.00)</f>
        <v/>
      </c>
      <c r="W67" s="23">
        <f>IFERROR(
        LET(
            ccj_count,'Loan Tape (S&amp;P)'!AD67,
            ccj_value,'Loan Tape (S&amp;P)'!AG67,
            ccj_date,'Loan Tape (S&amp;P)'!AH67,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7" s="21">
        <f>1.00</f>
        <v/>
      </c>
      <c r="Y67" s="21">
        <f>IFERROR(
        IF('Loan Tape (S&amp;P)'!AR67="Yes",
            LET(
                months_since,('Control Panel'!$B$10-'Loan Tape (S&amp;P)'!AS67)/30.44,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IFERROR(
        LET(
            is_btl,'Loan Tape (S&amp;P)'!L68="BTL",
            seasoning_months,('Control Panel'!$B$10-'Loan Tape (S&amp;P)'!F68)*12,
            threshold_months,VLOOKUP('Control Panel'!$B$6,'Jurisdiction Parameters'!$A:$F,6,FALSE),
            num_borr,'Loan Tape (S&amp;P)'!T68,
            balance,'Loan Tape (S&amp;P)'!B68,
            borr1_inc,'Loan Tape (S&amp;P)'!R68,
            borr2_inc,'Loan Tape (S&amp;P)'!S68,
            total_inc,'Loan Tape (S&amp;P)'!U68,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8" s="21">
        <f>IFERROR(
        IF('Loan Tape (S&amp;P)'!L68="BTL",
            LET(
                rental,'Loan Tape (S&amp;P)'!AV68,
                balance,'Loan Tape (S&amp;P)'!B68,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8" s="21">
        <f>IFERROR(
        IF('Loan Tape (S&amp;P)'!AS68="First",
            INDEX('FF Adj Parameters'!$B$20:$B$22,1),
            IF('Loan Tape (S&amp;P)'!AS68="Second",
                INDEX('FF Adj Parameters'!$B$20:$B$22,2),
                INDEX('FF Adj Parameters'!$B$20:$B$22,3)
            )
        ),
    1)</f>
        <v/>
      </c>
      <c r="K68" s="21">
        <f>IFERROR(
        IF('Loan Tape (S&amp;P)'!AS68&lt;&gt;"First",1.00,
            IF('Loan Tape (S&amp;P)'!M68="Cash-out",
                INDEX('FF Adj Parameters'!$B$26:$B$28,3),
            1.00)
        ),
    1)</f>
        <v/>
      </c>
      <c r="L68" s="21">
        <f>IFERROR(
        LET(
            arr_months,'Loan Tape (S&amp;P)'!AK68,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8" s="21">
        <f>IFERROR(
        IF('Loan Tape (S&amp;P)'!AK68=0,
            LET(
                years,('Control Panel'!$B$10-'Loan Tape (S&amp;P)'!F68)/365.25,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8" s="21">
        <f>IFERROR(
        LET(
            is_btl,'Loan Tape (S&amp;P)'!L68="BTL",
            is_htb,'Loan Tape (S&amp;P)'!Q68="Yes",
            is_ftb,'Loan Tape (S&amp;P)'!AP68="Yes",
            seasoning_months,('Control Panel'!$B$10-'Loan Tape (S&amp;P)'!F68)*12,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8" s="21">
        <f>IF('Loan Tape (S&amp;P)'!Q68="Yes",
        INDEX('FF Adj Parameters'!$B$42:$B$47,2),
    1.00)</f>
        <v/>
      </c>
      <c r="P68" s="21">
        <f>IF('Loan Tape (S&amp;P)'!P68="Yes",
        INDEX('FF Adj Parameters'!$B$42:$B$47,3),
    1.00)</f>
        <v/>
      </c>
      <c r="Q68" s="21">
        <f>IF('Loan Tape (S&amp;P)'!O68="Yes",
        INDEX('FF Adj Parameters'!$B$42:$B$47,4),
    1.00)</f>
        <v/>
      </c>
      <c r="R68" s="21">
        <f>IFERROR(
        LET(
            is_btl,'Loan Tape (S&amp;P)'!L68="BTL",
            is_self_cert,'Loan Tape (S&amp;P)'!AO68="Yes",
            is_performing,'Loan Tape (S&amp;P)'!AK68=0,
            IF(OR(is_btl,NOT(is_self_cert)),1.00,
                IF(is_performing,
                    LET(
                        months,('Control Panel'!$B$10-'Loan Tape (S&amp;P)'!F68)*12,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8" s="21">
        <f>IF('Loan Tape (S&amp;P)'!Q68="Yes",1.00,
        IF('Loan Tape (S&amp;P)'!AQ68="Yes",
            INDEX('FF Adj Parameters'!$B$42:$B$47,5),
        1.00))</f>
        <v/>
      </c>
      <c r="T68" s="21">
        <f>IFERROR(
        IF('Loan Tape (S&amp;P)'!N68&lt;&gt;"Interest Only",1.00,
            IF('Loan Tape (S&amp;P)'!L68="BTL",1.00,
                LET(
                    years_to_mat,('Loan Tape (S&amp;P)'!G68-'Control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8" s="21">
        <f>IF('Loan Tape (S&amp;P)'!L68="BTL",1.00,
        IF('Loan Tape (S&amp;P)'!X68="Yes",
            INDEX('FF Adj Parameters'!$B$58:$B$58,1),
        1.00))</f>
        <v/>
      </c>
      <c r="V68" s="21">
        <f>IF('Loan Tape (S&amp;P)'!AU68="Yes",
        INDEX('FF Adj Parameters'!$B$42:$B$47,6),
    1.00)</f>
        <v/>
      </c>
      <c r="W68" s="23">
        <f>IFERROR(
        LET(
            ccj_count,'Loan Tape (S&amp;P)'!AD68,
            ccj_value,'Loan Tape (S&amp;P)'!AG68,
            ccj_date,'Loan Tape (S&amp;P)'!AH68,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8" s="21">
        <f>1.00</f>
        <v/>
      </c>
      <c r="Y68" s="21">
        <f>IFERROR(
        IF('Loan Tape (S&amp;P)'!AR68="Yes",
            LET(
                months_since,('Control Panel'!$B$10-'Loan Tape (S&amp;P)'!AS68)/30.44,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IFERROR(
        LET(
            is_btl,'Loan Tape (S&amp;P)'!L69="BTL",
            seasoning_months,('Control Panel'!$B$10-'Loan Tape (S&amp;P)'!F69)*12,
            threshold_months,VLOOKUP('Control Panel'!$B$6,'Jurisdiction Parameters'!$A:$F,6,FALSE),
            num_borr,'Loan Tape (S&amp;P)'!T69,
            balance,'Loan Tape (S&amp;P)'!B69,
            borr1_inc,'Loan Tape (S&amp;P)'!R69,
            borr2_inc,'Loan Tape (S&amp;P)'!S69,
            total_inc,'Loan Tape (S&amp;P)'!U69,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69" s="21">
        <f>IFERROR(
        IF('Loan Tape (S&amp;P)'!L69="BTL",
            LET(
                rental,'Loan Tape (S&amp;P)'!AV69,
                balance,'Loan Tape (S&amp;P)'!B69,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69" s="21">
        <f>IFERROR(
        IF('Loan Tape (S&amp;P)'!AS69="First",
            INDEX('FF Adj Parameters'!$B$20:$B$22,1),
            IF('Loan Tape (S&amp;P)'!AS69="Second",
                INDEX('FF Adj Parameters'!$B$20:$B$22,2),
                INDEX('FF Adj Parameters'!$B$20:$B$22,3)
            )
        ),
    1)</f>
        <v/>
      </c>
      <c r="K69" s="21">
        <f>IFERROR(
        IF('Loan Tape (S&amp;P)'!AS69&lt;&gt;"First",1.00,
            IF('Loan Tape (S&amp;P)'!M69="Cash-out",
                INDEX('FF Adj Parameters'!$B$26:$B$28,3),
            1.00)
        ),
    1)</f>
        <v/>
      </c>
      <c r="L69" s="21">
        <f>IFERROR(
        LET(
            arr_months,'Loan Tape (S&amp;P)'!AK69,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69" s="21">
        <f>IFERROR(
        IF('Loan Tape (S&amp;P)'!AK69=0,
            LET(
                years,('Control Panel'!$B$10-'Loan Tape (S&amp;P)'!F69)/365.25,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69" s="21">
        <f>IFERROR(
        LET(
            is_btl,'Loan Tape (S&amp;P)'!L69="BTL",
            is_htb,'Loan Tape (S&amp;P)'!Q69="Yes",
            is_ftb,'Loan Tape (S&amp;P)'!AP69="Yes",
            seasoning_months,('Control Panel'!$B$10-'Loan Tape (S&amp;P)'!F69)*12,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69" s="21">
        <f>IF('Loan Tape (S&amp;P)'!Q69="Yes",
        INDEX('FF Adj Parameters'!$B$42:$B$47,2),
    1.00)</f>
        <v/>
      </c>
      <c r="P69" s="21">
        <f>IF('Loan Tape (S&amp;P)'!P69="Yes",
        INDEX('FF Adj Parameters'!$B$42:$B$47,3),
    1.00)</f>
        <v/>
      </c>
      <c r="Q69" s="21">
        <f>IF('Loan Tape (S&amp;P)'!O69="Yes",
        INDEX('FF Adj Parameters'!$B$42:$B$47,4),
    1.00)</f>
        <v/>
      </c>
      <c r="R69" s="21">
        <f>IFERROR(
        LET(
            is_btl,'Loan Tape (S&amp;P)'!L69="BTL",
            is_self_cert,'Loan Tape (S&amp;P)'!AO69="Yes",
            is_performing,'Loan Tape (S&amp;P)'!AK69=0,
            IF(OR(is_btl,NOT(is_self_cert)),1.00,
                IF(is_performing,
                    LET(
                        months,('Control Panel'!$B$10-'Loan Tape (S&amp;P)'!F69)*12,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69" s="21">
        <f>IF('Loan Tape (S&amp;P)'!Q69="Yes",1.00,
        IF('Loan Tape (S&amp;P)'!AQ69="Yes",
            INDEX('FF Adj Parameters'!$B$42:$B$47,5),
        1.00))</f>
        <v/>
      </c>
      <c r="T69" s="21">
        <f>IFERROR(
        IF('Loan Tape (S&amp;P)'!N69&lt;&gt;"Interest Only",1.00,
            IF('Loan Tape (S&amp;P)'!L69="BTL",1.00,
                LET(
                    years_to_mat,('Loan Tape (S&amp;P)'!G69-'Control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69" s="21">
        <f>IF('Loan Tape (S&amp;P)'!L69="BTL",1.00,
        IF('Loan Tape (S&amp;P)'!X69="Yes",
            INDEX('FF Adj Parameters'!$B$58:$B$58,1),
        1.00))</f>
        <v/>
      </c>
      <c r="V69" s="21">
        <f>IF('Loan Tape (S&amp;P)'!AU69="Yes",
        INDEX('FF Adj Parameters'!$B$42:$B$47,6),
    1.00)</f>
        <v/>
      </c>
      <c r="W69" s="23">
        <f>IFERROR(
        LET(
            ccj_count,'Loan Tape (S&amp;P)'!AD69,
            ccj_value,'Loan Tape (S&amp;P)'!AG69,
            ccj_date,'Loan Tape (S&amp;P)'!AH69,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69" s="21">
        <f>1.00</f>
        <v/>
      </c>
      <c r="Y69" s="21">
        <f>IFERROR(
        IF('Loan Tape (S&amp;P)'!AR69="Yes",
            LET(
                months_since,('Control Panel'!$B$10-'Loan Tape (S&amp;P)'!AS69)/30.44,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IFERROR(
        LET(
            is_btl,'Loan Tape (S&amp;P)'!L70="BTL",
            seasoning_months,('Control Panel'!$B$10-'Loan Tape (S&amp;P)'!F70)*12,
            threshold_months,VLOOKUP('Control Panel'!$B$6,'Jurisdiction Parameters'!$A:$F,6,FALSE),
            num_borr,'Loan Tape (S&amp;P)'!T70,
            balance,'Loan Tape (S&amp;P)'!B70,
            borr1_inc,'Loan Tape (S&amp;P)'!R70,
            borr2_inc,'Loan Tape (S&amp;P)'!S70,
            total_inc,'Loan Tape (S&amp;P)'!U70,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0" s="21">
        <f>IFERROR(
        IF('Loan Tape (S&amp;P)'!L70="BTL",
            LET(
                rental,'Loan Tape (S&amp;P)'!AV70,
                balance,'Loan Tape (S&amp;P)'!B70,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0" s="21">
        <f>IFERROR(
        IF('Loan Tape (S&amp;P)'!AS70="First",
            INDEX('FF Adj Parameters'!$B$20:$B$22,1),
            IF('Loan Tape (S&amp;P)'!AS70="Second",
                INDEX('FF Adj Parameters'!$B$20:$B$22,2),
                INDEX('FF Adj Parameters'!$B$20:$B$22,3)
            )
        ),
    1)</f>
        <v/>
      </c>
      <c r="K70" s="21">
        <f>IFERROR(
        IF('Loan Tape (S&amp;P)'!AS70&lt;&gt;"First",1.00,
            IF('Loan Tape (S&amp;P)'!M70="Cash-out",
                INDEX('FF Adj Parameters'!$B$26:$B$28,3),
            1.00)
        ),
    1)</f>
        <v/>
      </c>
      <c r="L70" s="21">
        <f>IFERROR(
        LET(
            arr_months,'Loan Tape (S&amp;P)'!AK70,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0" s="21">
        <f>IFERROR(
        IF('Loan Tape (S&amp;P)'!AK70=0,
            LET(
                years,('Control Panel'!$B$10-'Loan Tape (S&amp;P)'!F70)/365.25,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0" s="21">
        <f>IFERROR(
        LET(
            is_btl,'Loan Tape (S&amp;P)'!L70="BTL",
            is_htb,'Loan Tape (S&amp;P)'!Q70="Yes",
            is_ftb,'Loan Tape (S&amp;P)'!AP70="Yes",
            seasoning_months,('Control Panel'!$B$10-'Loan Tape (S&amp;P)'!F70)*12,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0" s="21">
        <f>IF('Loan Tape (S&amp;P)'!Q70="Yes",
        INDEX('FF Adj Parameters'!$B$42:$B$47,2),
    1.00)</f>
        <v/>
      </c>
      <c r="P70" s="21">
        <f>IF('Loan Tape (S&amp;P)'!P70="Yes",
        INDEX('FF Adj Parameters'!$B$42:$B$47,3),
    1.00)</f>
        <v/>
      </c>
      <c r="Q70" s="21">
        <f>IF('Loan Tape (S&amp;P)'!O70="Yes",
        INDEX('FF Adj Parameters'!$B$42:$B$47,4),
    1.00)</f>
        <v/>
      </c>
      <c r="R70" s="21">
        <f>IFERROR(
        LET(
            is_btl,'Loan Tape (S&amp;P)'!L70="BTL",
            is_self_cert,'Loan Tape (S&amp;P)'!AO70="Yes",
            is_performing,'Loan Tape (S&amp;P)'!AK70=0,
            IF(OR(is_btl,NOT(is_self_cert)),1.00,
                IF(is_performing,
                    LET(
                        months,('Control Panel'!$B$10-'Loan Tape (S&amp;P)'!F70)*12,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0" s="21">
        <f>IF('Loan Tape (S&amp;P)'!Q70="Yes",1.00,
        IF('Loan Tape (S&amp;P)'!AQ70="Yes",
            INDEX('FF Adj Parameters'!$B$42:$B$47,5),
        1.00))</f>
        <v/>
      </c>
      <c r="T70" s="21">
        <f>IFERROR(
        IF('Loan Tape (S&amp;P)'!N70&lt;&gt;"Interest Only",1.00,
            IF('Loan Tape (S&amp;P)'!L70="BTL",1.00,
                LET(
                    years_to_mat,('Loan Tape (S&amp;P)'!G70-'Control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0" s="21">
        <f>IF('Loan Tape (S&amp;P)'!L70="BTL",1.00,
        IF('Loan Tape (S&amp;P)'!X70="Yes",
            INDEX('FF Adj Parameters'!$B$58:$B$58,1),
        1.00))</f>
        <v/>
      </c>
      <c r="V70" s="21">
        <f>IF('Loan Tape (S&amp;P)'!AU70="Yes",
        INDEX('FF Adj Parameters'!$B$42:$B$47,6),
    1.00)</f>
        <v/>
      </c>
      <c r="W70" s="23">
        <f>IFERROR(
        LET(
            ccj_count,'Loan Tape (S&amp;P)'!AD70,
            ccj_value,'Loan Tape (S&amp;P)'!AG70,
            ccj_date,'Loan Tape (S&amp;P)'!AH70,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0" s="21">
        <f>1.00</f>
        <v/>
      </c>
      <c r="Y70" s="21">
        <f>IFERROR(
        IF('Loan Tape (S&amp;P)'!AR70="Yes",
            LET(
                months_since,('Control Panel'!$B$10-'Loan Tape (S&amp;P)'!AS70)/30.44,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IFERROR(
        LET(
            is_btl,'Loan Tape (S&amp;P)'!L71="BTL",
            seasoning_months,('Control Panel'!$B$10-'Loan Tape (S&amp;P)'!F71)*12,
            threshold_months,VLOOKUP('Control Panel'!$B$6,'Jurisdiction Parameters'!$A:$F,6,FALSE),
            num_borr,'Loan Tape (S&amp;P)'!T71,
            balance,'Loan Tape (S&amp;P)'!B71,
            borr1_inc,'Loan Tape (S&amp;P)'!R71,
            borr2_inc,'Loan Tape (S&amp;P)'!S71,
            total_inc,'Loan Tape (S&amp;P)'!U71,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1" s="21">
        <f>IFERROR(
        IF('Loan Tape (S&amp;P)'!L71="BTL",
            LET(
                rental,'Loan Tape (S&amp;P)'!AV71,
                balance,'Loan Tape (S&amp;P)'!B71,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1" s="21">
        <f>IFERROR(
        IF('Loan Tape (S&amp;P)'!AS71="First",
            INDEX('FF Adj Parameters'!$B$20:$B$22,1),
            IF('Loan Tape (S&amp;P)'!AS71="Second",
                INDEX('FF Adj Parameters'!$B$20:$B$22,2),
                INDEX('FF Adj Parameters'!$B$20:$B$22,3)
            )
        ),
    1)</f>
        <v/>
      </c>
      <c r="K71" s="21">
        <f>IFERROR(
        IF('Loan Tape (S&amp;P)'!AS71&lt;&gt;"First",1.00,
            IF('Loan Tape (S&amp;P)'!M71="Cash-out",
                INDEX('FF Adj Parameters'!$B$26:$B$28,3),
            1.00)
        ),
    1)</f>
        <v/>
      </c>
      <c r="L71" s="21">
        <f>IFERROR(
        LET(
            arr_months,'Loan Tape (S&amp;P)'!AK71,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1" s="21">
        <f>IFERROR(
        IF('Loan Tape (S&amp;P)'!AK71=0,
            LET(
                years,('Control Panel'!$B$10-'Loan Tape (S&amp;P)'!F71)/365.25,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1" s="21">
        <f>IFERROR(
        LET(
            is_btl,'Loan Tape (S&amp;P)'!L71="BTL",
            is_htb,'Loan Tape (S&amp;P)'!Q71="Yes",
            is_ftb,'Loan Tape (S&amp;P)'!AP71="Yes",
            seasoning_months,('Control Panel'!$B$10-'Loan Tape (S&amp;P)'!F71)*12,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1" s="21">
        <f>IF('Loan Tape (S&amp;P)'!Q71="Yes",
        INDEX('FF Adj Parameters'!$B$42:$B$47,2),
    1.00)</f>
        <v/>
      </c>
      <c r="P71" s="21">
        <f>IF('Loan Tape (S&amp;P)'!P71="Yes",
        INDEX('FF Adj Parameters'!$B$42:$B$47,3),
    1.00)</f>
        <v/>
      </c>
      <c r="Q71" s="21">
        <f>IF('Loan Tape (S&amp;P)'!O71="Yes",
        INDEX('FF Adj Parameters'!$B$42:$B$47,4),
    1.00)</f>
        <v/>
      </c>
      <c r="R71" s="21">
        <f>IFERROR(
        LET(
            is_btl,'Loan Tape (S&amp;P)'!L71="BTL",
            is_self_cert,'Loan Tape (S&amp;P)'!AO71="Yes",
            is_performing,'Loan Tape (S&amp;P)'!AK71=0,
            IF(OR(is_btl,NOT(is_self_cert)),1.00,
                IF(is_performing,
                    LET(
                        months,('Control Panel'!$B$10-'Loan Tape (S&amp;P)'!F71)*12,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1" s="21">
        <f>IF('Loan Tape (S&amp;P)'!Q71="Yes",1.00,
        IF('Loan Tape (S&amp;P)'!AQ71="Yes",
            INDEX('FF Adj Parameters'!$B$42:$B$47,5),
        1.00))</f>
        <v/>
      </c>
      <c r="T71" s="21">
        <f>IFERROR(
        IF('Loan Tape (S&amp;P)'!N71&lt;&gt;"Interest Only",1.00,
            IF('Loan Tape (S&amp;P)'!L71="BTL",1.00,
                LET(
                    years_to_mat,('Loan Tape (S&amp;P)'!G71-'Control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1" s="21">
        <f>IF('Loan Tape (S&amp;P)'!L71="BTL",1.00,
        IF('Loan Tape (S&amp;P)'!X71="Yes",
            INDEX('FF Adj Parameters'!$B$58:$B$58,1),
        1.00))</f>
        <v/>
      </c>
      <c r="V71" s="21">
        <f>IF('Loan Tape (S&amp;P)'!AU71="Yes",
        INDEX('FF Adj Parameters'!$B$42:$B$47,6),
    1.00)</f>
        <v/>
      </c>
      <c r="W71" s="23">
        <f>IFERROR(
        LET(
            ccj_count,'Loan Tape (S&amp;P)'!AD71,
            ccj_value,'Loan Tape (S&amp;P)'!AG71,
            ccj_date,'Loan Tape (S&amp;P)'!AH71,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1" s="21">
        <f>1.00</f>
        <v/>
      </c>
      <c r="Y71" s="21">
        <f>IFERROR(
        IF('Loan Tape (S&amp;P)'!AR71="Yes",
            LET(
                months_since,('Control Panel'!$B$10-'Loan Tape (S&amp;P)'!AS71)/30.44,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IFERROR(
        LET(
            is_btl,'Loan Tape (S&amp;P)'!L72="BTL",
            seasoning_months,('Control Panel'!$B$10-'Loan Tape (S&amp;P)'!F72)*12,
            threshold_months,VLOOKUP('Control Panel'!$B$6,'Jurisdiction Parameters'!$A:$F,6,FALSE),
            num_borr,'Loan Tape (S&amp;P)'!T72,
            balance,'Loan Tape (S&amp;P)'!B72,
            borr1_inc,'Loan Tape (S&amp;P)'!R72,
            borr2_inc,'Loan Tape (S&amp;P)'!S72,
            total_inc,'Loan Tape (S&amp;P)'!U72,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2" s="21">
        <f>IFERROR(
        IF('Loan Tape (S&amp;P)'!L72="BTL",
            LET(
                rental,'Loan Tape (S&amp;P)'!AV72,
                balance,'Loan Tape (S&amp;P)'!B72,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2" s="21">
        <f>IFERROR(
        IF('Loan Tape (S&amp;P)'!AS72="First",
            INDEX('FF Adj Parameters'!$B$20:$B$22,1),
            IF('Loan Tape (S&amp;P)'!AS72="Second",
                INDEX('FF Adj Parameters'!$B$20:$B$22,2),
                INDEX('FF Adj Parameters'!$B$20:$B$22,3)
            )
        ),
    1)</f>
        <v/>
      </c>
      <c r="K72" s="21">
        <f>IFERROR(
        IF('Loan Tape (S&amp;P)'!AS72&lt;&gt;"First",1.00,
            IF('Loan Tape (S&amp;P)'!M72="Cash-out",
                INDEX('FF Adj Parameters'!$B$26:$B$28,3),
            1.00)
        ),
    1)</f>
        <v/>
      </c>
      <c r="L72" s="21">
        <f>IFERROR(
        LET(
            arr_months,'Loan Tape (S&amp;P)'!AK72,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2" s="21">
        <f>IFERROR(
        IF('Loan Tape (S&amp;P)'!AK72=0,
            LET(
                years,('Control Panel'!$B$10-'Loan Tape (S&amp;P)'!F72)/365.25,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2" s="21">
        <f>IFERROR(
        LET(
            is_btl,'Loan Tape (S&amp;P)'!L72="BTL",
            is_htb,'Loan Tape (S&amp;P)'!Q72="Yes",
            is_ftb,'Loan Tape (S&amp;P)'!AP72="Yes",
            seasoning_months,('Control Panel'!$B$10-'Loan Tape (S&amp;P)'!F72)*12,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2" s="21">
        <f>IF('Loan Tape (S&amp;P)'!Q72="Yes",
        INDEX('FF Adj Parameters'!$B$42:$B$47,2),
    1.00)</f>
        <v/>
      </c>
      <c r="P72" s="21">
        <f>IF('Loan Tape (S&amp;P)'!P72="Yes",
        INDEX('FF Adj Parameters'!$B$42:$B$47,3),
    1.00)</f>
        <v/>
      </c>
      <c r="Q72" s="21">
        <f>IF('Loan Tape (S&amp;P)'!O72="Yes",
        INDEX('FF Adj Parameters'!$B$42:$B$47,4),
    1.00)</f>
        <v/>
      </c>
      <c r="R72" s="21">
        <f>IFERROR(
        LET(
            is_btl,'Loan Tape (S&amp;P)'!L72="BTL",
            is_self_cert,'Loan Tape (S&amp;P)'!AO72="Yes",
            is_performing,'Loan Tape (S&amp;P)'!AK72=0,
            IF(OR(is_btl,NOT(is_self_cert)),1.00,
                IF(is_performing,
                    LET(
                        months,('Control Panel'!$B$10-'Loan Tape (S&amp;P)'!F72)*12,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2" s="21">
        <f>IF('Loan Tape (S&amp;P)'!Q72="Yes",1.00,
        IF('Loan Tape (S&amp;P)'!AQ72="Yes",
            INDEX('FF Adj Parameters'!$B$42:$B$47,5),
        1.00))</f>
        <v/>
      </c>
      <c r="T72" s="21">
        <f>IFERROR(
        IF('Loan Tape (S&amp;P)'!N72&lt;&gt;"Interest Only",1.00,
            IF('Loan Tape (S&amp;P)'!L72="BTL",1.00,
                LET(
                    years_to_mat,('Loan Tape (S&amp;P)'!G72-'Control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2" s="21">
        <f>IF('Loan Tape (S&amp;P)'!L72="BTL",1.00,
        IF('Loan Tape (S&amp;P)'!X72="Yes",
            INDEX('FF Adj Parameters'!$B$58:$B$58,1),
        1.00))</f>
        <v/>
      </c>
      <c r="V72" s="21">
        <f>IF('Loan Tape (S&amp;P)'!AU72="Yes",
        INDEX('FF Adj Parameters'!$B$42:$B$47,6),
    1.00)</f>
        <v/>
      </c>
      <c r="W72" s="23">
        <f>IFERROR(
        LET(
            ccj_count,'Loan Tape (S&amp;P)'!AD72,
            ccj_value,'Loan Tape (S&amp;P)'!AG72,
            ccj_date,'Loan Tape (S&amp;P)'!AH72,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2" s="21">
        <f>1.00</f>
        <v/>
      </c>
      <c r="Y72" s="21">
        <f>IFERROR(
        IF('Loan Tape (S&amp;P)'!AR72="Yes",
            LET(
                months_since,('Control Panel'!$B$10-'Loan Tape (S&amp;P)'!AS72)/30.44,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IFERROR(
        LET(
            is_btl,'Loan Tape (S&amp;P)'!L73="BTL",
            seasoning_months,('Control Panel'!$B$10-'Loan Tape (S&amp;P)'!F73)*12,
            threshold_months,VLOOKUP('Control Panel'!$B$6,'Jurisdiction Parameters'!$A:$F,6,FALSE),
            num_borr,'Loan Tape (S&amp;P)'!T73,
            balance,'Loan Tape (S&amp;P)'!B73,
            borr1_inc,'Loan Tape (S&amp;P)'!R73,
            borr2_inc,'Loan Tape (S&amp;P)'!S73,
            total_inc,'Loan Tape (S&amp;P)'!U73,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3" s="21">
        <f>IFERROR(
        IF('Loan Tape (S&amp;P)'!L73="BTL",
            LET(
                rental,'Loan Tape (S&amp;P)'!AV73,
                balance,'Loan Tape (S&amp;P)'!B73,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3" s="21">
        <f>IFERROR(
        IF('Loan Tape (S&amp;P)'!AS73="First",
            INDEX('FF Adj Parameters'!$B$20:$B$22,1),
            IF('Loan Tape (S&amp;P)'!AS73="Second",
                INDEX('FF Adj Parameters'!$B$20:$B$22,2),
                INDEX('FF Adj Parameters'!$B$20:$B$22,3)
            )
        ),
    1)</f>
        <v/>
      </c>
      <c r="K73" s="21">
        <f>IFERROR(
        IF('Loan Tape (S&amp;P)'!AS73&lt;&gt;"First",1.00,
            IF('Loan Tape (S&amp;P)'!M73="Cash-out",
                INDEX('FF Adj Parameters'!$B$26:$B$28,3),
            1.00)
        ),
    1)</f>
        <v/>
      </c>
      <c r="L73" s="21">
        <f>IFERROR(
        LET(
            arr_months,'Loan Tape (S&amp;P)'!AK73,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3" s="21">
        <f>IFERROR(
        IF('Loan Tape (S&amp;P)'!AK73=0,
            LET(
                years,('Control Panel'!$B$10-'Loan Tape (S&amp;P)'!F73)/365.25,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3" s="21">
        <f>IFERROR(
        LET(
            is_btl,'Loan Tape (S&amp;P)'!L73="BTL",
            is_htb,'Loan Tape (S&amp;P)'!Q73="Yes",
            is_ftb,'Loan Tape (S&amp;P)'!AP73="Yes",
            seasoning_months,('Control Panel'!$B$10-'Loan Tape (S&amp;P)'!F73)*12,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3" s="21">
        <f>IF('Loan Tape (S&amp;P)'!Q73="Yes",
        INDEX('FF Adj Parameters'!$B$42:$B$47,2),
    1.00)</f>
        <v/>
      </c>
      <c r="P73" s="21">
        <f>IF('Loan Tape (S&amp;P)'!P73="Yes",
        INDEX('FF Adj Parameters'!$B$42:$B$47,3),
    1.00)</f>
        <v/>
      </c>
      <c r="Q73" s="21">
        <f>IF('Loan Tape (S&amp;P)'!O73="Yes",
        INDEX('FF Adj Parameters'!$B$42:$B$47,4),
    1.00)</f>
        <v/>
      </c>
      <c r="R73" s="21">
        <f>IFERROR(
        LET(
            is_btl,'Loan Tape (S&amp;P)'!L73="BTL",
            is_self_cert,'Loan Tape (S&amp;P)'!AO73="Yes",
            is_performing,'Loan Tape (S&amp;P)'!AK73=0,
            IF(OR(is_btl,NOT(is_self_cert)),1.00,
                IF(is_performing,
                    LET(
                        months,('Control Panel'!$B$10-'Loan Tape (S&amp;P)'!F73)*12,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3" s="21">
        <f>IF('Loan Tape (S&amp;P)'!Q73="Yes",1.00,
        IF('Loan Tape (S&amp;P)'!AQ73="Yes",
            INDEX('FF Adj Parameters'!$B$42:$B$47,5),
        1.00))</f>
        <v/>
      </c>
      <c r="T73" s="21">
        <f>IFERROR(
        IF('Loan Tape (S&amp;P)'!N73&lt;&gt;"Interest Only",1.00,
            IF('Loan Tape (S&amp;P)'!L73="BTL",1.00,
                LET(
                    years_to_mat,('Loan Tape (S&amp;P)'!G73-'Control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3" s="21">
        <f>IF('Loan Tape (S&amp;P)'!L73="BTL",1.00,
        IF('Loan Tape (S&amp;P)'!X73="Yes",
            INDEX('FF Adj Parameters'!$B$58:$B$58,1),
        1.00))</f>
        <v/>
      </c>
      <c r="V73" s="21">
        <f>IF('Loan Tape (S&amp;P)'!AU73="Yes",
        INDEX('FF Adj Parameters'!$B$42:$B$47,6),
    1.00)</f>
        <v/>
      </c>
      <c r="W73" s="23">
        <f>IFERROR(
        LET(
            ccj_count,'Loan Tape (S&amp;P)'!AD73,
            ccj_value,'Loan Tape (S&amp;P)'!AG73,
            ccj_date,'Loan Tape (S&amp;P)'!AH73,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3" s="21">
        <f>1.00</f>
        <v/>
      </c>
      <c r="Y73" s="21">
        <f>IFERROR(
        IF('Loan Tape (S&amp;P)'!AR73="Yes",
            LET(
                months_since,('Control Panel'!$B$10-'Loan Tape (S&amp;P)'!AS73)/30.44,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IFERROR(
        LET(
            is_btl,'Loan Tape (S&amp;P)'!L74="BTL",
            seasoning_months,('Control Panel'!$B$10-'Loan Tape (S&amp;P)'!F74)*12,
            threshold_months,VLOOKUP('Control Panel'!$B$6,'Jurisdiction Parameters'!$A:$F,6,FALSE),
            num_borr,'Loan Tape (S&amp;P)'!T74,
            balance,'Loan Tape (S&amp;P)'!B74,
            borr1_inc,'Loan Tape (S&amp;P)'!R74,
            borr2_inc,'Loan Tape (S&amp;P)'!S74,
            total_inc,'Loan Tape (S&amp;P)'!U74,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4" s="21">
        <f>IFERROR(
        IF('Loan Tape (S&amp;P)'!L74="BTL",
            LET(
                rental,'Loan Tape (S&amp;P)'!AV74,
                balance,'Loan Tape (S&amp;P)'!B74,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4" s="21">
        <f>IFERROR(
        IF('Loan Tape (S&amp;P)'!AS74="First",
            INDEX('FF Adj Parameters'!$B$20:$B$22,1),
            IF('Loan Tape (S&amp;P)'!AS74="Second",
                INDEX('FF Adj Parameters'!$B$20:$B$22,2),
                INDEX('FF Adj Parameters'!$B$20:$B$22,3)
            )
        ),
    1)</f>
        <v/>
      </c>
      <c r="K74" s="21">
        <f>IFERROR(
        IF('Loan Tape (S&amp;P)'!AS74&lt;&gt;"First",1.00,
            IF('Loan Tape (S&amp;P)'!M74="Cash-out",
                INDEX('FF Adj Parameters'!$B$26:$B$28,3),
            1.00)
        ),
    1)</f>
        <v/>
      </c>
      <c r="L74" s="21">
        <f>IFERROR(
        LET(
            arr_months,'Loan Tape (S&amp;P)'!AK74,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4" s="21">
        <f>IFERROR(
        IF('Loan Tape (S&amp;P)'!AK74=0,
            LET(
                years,('Control Panel'!$B$10-'Loan Tape (S&amp;P)'!F74)/365.25,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4" s="21">
        <f>IFERROR(
        LET(
            is_btl,'Loan Tape (S&amp;P)'!L74="BTL",
            is_htb,'Loan Tape (S&amp;P)'!Q74="Yes",
            is_ftb,'Loan Tape (S&amp;P)'!AP74="Yes",
            seasoning_months,('Control Panel'!$B$10-'Loan Tape (S&amp;P)'!F74)*12,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4" s="21">
        <f>IF('Loan Tape (S&amp;P)'!Q74="Yes",
        INDEX('FF Adj Parameters'!$B$42:$B$47,2),
    1.00)</f>
        <v/>
      </c>
      <c r="P74" s="21">
        <f>IF('Loan Tape (S&amp;P)'!P74="Yes",
        INDEX('FF Adj Parameters'!$B$42:$B$47,3),
    1.00)</f>
        <v/>
      </c>
      <c r="Q74" s="21">
        <f>IF('Loan Tape (S&amp;P)'!O74="Yes",
        INDEX('FF Adj Parameters'!$B$42:$B$47,4),
    1.00)</f>
        <v/>
      </c>
      <c r="R74" s="21">
        <f>IFERROR(
        LET(
            is_btl,'Loan Tape (S&amp;P)'!L74="BTL",
            is_self_cert,'Loan Tape (S&amp;P)'!AO74="Yes",
            is_performing,'Loan Tape (S&amp;P)'!AK74=0,
            IF(OR(is_btl,NOT(is_self_cert)),1.00,
                IF(is_performing,
                    LET(
                        months,('Control Panel'!$B$10-'Loan Tape (S&amp;P)'!F74)*12,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4" s="21">
        <f>IF('Loan Tape (S&amp;P)'!Q74="Yes",1.00,
        IF('Loan Tape (S&amp;P)'!AQ74="Yes",
            INDEX('FF Adj Parameters'!$B$42:$B$47,5),
        1.00))</f>
        <v/>
      </c>
      <c r="T74" s="21">
        <f>IFERROR(
        IF('Loan Tape (S&amp;P)'!N74&lt;&gt;"Interest Only",1.00,
            IF('Loan Tape (S&amp;P)'!L74="BTL",1.00,
                LET(
                    years_to_mat,('Loan Tape (S&amp;P)'!G74-'Control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4" s="21">
        <f>IF('Loan Tape (S&amp;P)'!L74="BTL",1.00,
        IF('Loan Tape (S&amp;P)'!X74="Yes",
            INDEX('FF Adj Parameters'!$B$58:$B$58,1),
        1.00))</f>
        <v/>
      </c>
      <c r="V74" s="21">
        <f>IF('Loan Tape (S&amp;P)'!AU74="Yes",
        INDEX('FF Adj Parameters'!$B$42:$B$47,6),
    1.00)</f>
        <v/>
      </c>
      <c r="W74" s="23">
        <f>IFERROR(
        LET(
            ccj_count,'Loan Tape (S&amp;P)'!AD74,
            ccj_value,'Loan Tape (S&amp;P)'!AG74,
            ccj_date,'Loan Tape (S&amp;P)'!AH74,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4" s="21">
        <f>1.00</f>
        <v/>
      </c>
      <c r="Y74" s="21">
        <f>IFERROR(
        IF('Loan Tape (S&amp;P)'!AR74="Yes",
            LET(
                months_since,('Control Panel'!$B$10-'Loan Tape (S&amp;P)'!AS74)/30.44,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IFERROR(
        LET(
            is_btl,'Loan Tape (S&amp;P)'!L75="BTL",
            seasoning_months,('Control Panel'!$B$10-'Loan Tape (S&amp;P)'!F75)*12,
            threshold_months,VLOOKUP('Control Panel'!$B$6,'Jurisdiction Parameters'!$A:$F,6,FALSE),
            num_borr,'Loan Tape (S&amp;P)'!T75,
            balance,'Loan Tape (S&amp;P)'!B75,
            borr1_inc,'Loan Tape (S&amp;P)'!R75,
            borr2_inc,'Loan Tape (S&amp;P)'!S75,
            total_inc,'Loan Tape (S&amp;P)'!U75,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5" s="21">
        <f>IFERROR(
        IF('Loan Tape (S&amp;P)'!L75="BTL",
            LET(
                rental,'Loan Tape (S&amp;P)'!AV75,
                balance,'Loan Tape (S&amp;P)'!B75,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5" s="21">
        <f>IFERROR(
        IF('Loan Tape (S&amp;P)'!AS75="First",
            INDEX('FF Adj Parameters'!$B$20:$B$22,1),
            IF('Loan Tape (S&amp;P)'!AS75="Second",
                INDEX('FF Adj Parameters'!$B$20:$B$22,2),
                INDEX('FF Adj Parameters'!$B$20:$B$22,3)
            )
        ),
    1)</f>
        <v/>
      </c>
      <c r="K75" s="21">
        <f>IFERROR(
        IF('Loan Tape (S&amp;P)'!AS75&lt;&gt;"First",1.00,
            IF('Loan Tape (S&amp;P)'!M75="Cash-out",
                INDEX('FF Adj Parameters'!$B$26:$B$28,3),
            1.00)
        ),
    1)</f>
        <v/>
      </c>
      <c r="L75" s="21">
        <f>IFERROR(
        LET(
            arr_months,'Loan Tape (S&amp;P)'!AK75,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5" s="21">
        <f>IFERROR(
        IF('Loan Tape (S&amp;P)'!AK75=0,
            LET(
                years,('Control Panel'!$B$10-'Loan Tape (S&amp;P)'!F75)/365.25,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5" s="21">
        <f>IFERROR(
        LET(
            is_btl,'Loan Tape (S&amp;P)'!L75="BTL",
            is_htb,'Loan Tape (S&amp;P)'!Q75="Yes",
            is_ftb,'Loan Tape (S&amp;P)'!AP75="Yes",
            seasoning_months,('Control Panel'!$B$10-'Loan Tape (S&amp;P)'!F75)*12,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5" s="21">
        <f>IF('Loan Tape (S&amp;P)'!Q75="Yes",
        INDEX('FF Adj Parameters'!$B$42:$B$47,2),
    1.00)</f>
        <v/>
      </c>
      <c r="P75" s="21">
        <f>IF('Loan Tape (S&amp;P)'!P75="Yes",
        INDEX('FF Adj Parameters'!$B$42:$B$47,3),
    1.00)</f>
        <v/>
      </c>
      <c r="Q75" s="21">
        <f>IF('Loan Tape (S&amp;P)'!O75="Yes",
        INDEX('FF Adj Parameters'!$B$42:$B$47,4),
    1.00)</f>
        <v/>
      </c>
      <c r="R75" s="21">
        <f>IFERROR(
        LET(
            is_btl,'Loan Tape (S&amp;P)'!L75="BTL",
            is_self_cert,'Loan Tape (S&amp;P)'!AO75="Yes",
            is_performing,'Loan Tape (S&amp;P)'!AK75=0,
            IF(OR(is_btl,NOT(is_self_cert)),1.00,
                IF(is_performing,
                    LET(
                        months,('Control Panel'!$B$10-'Loan Tape (S&amp;P)'!F75)*12,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5" s="21">
        <f>IF('Loan Tape (S&amp;P)'!Q75="Yes",1.00,
        IF('Loan Tape (S&amp;P)'!AQ75="Yes",
            INDEX('FF Adj Parameters'!$B$42:$B$47,5),
        1.00))</f>
        <v/>
      </c>
      <c r="T75" s="21">
        <f>IFERROR(
        IF('Loan Tape (S&amp;P)'!N75&lt;&gt;"Interest Only",1.00,
            IF('Loan Tape (S&amp;P)'!L75="BTL",1.00,
                LET(
                    years_to_mat,('Loan Tape (S&amp;P)'!G75-'Control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5" s="21">
        <f>IF('Loan Tape (S&amp;P)'!L75="BTL",1.00,
        IF('Loan Tape (S&amp;P)'!X75="Yes",
            INDEX('FF Adj Parameters'!$B$58:$B$58,1),
        1.00))</f>
        <v/>
      </c>
      <c r="V75" s="21">
        <f>IF('Loan Tape (S&amp;P)'!AU75="Yes",
        INDEX('FF Adj Parameters'!$B$42:$B$47,6),
    1.00)</f>
        <v/>
      </c>
      <c r="W75" s="23">
        <f>IFERROR(
        LET(
            ccj_count,'Loan Tape (S&amp;P)'!AD75,
            ccj_value,'Loan Tape (S&amp;P)'!AG75,
            ccj_date,'Loan Tape (S&amp;P)'!AH75,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5" s="21">
        <f>1.00</f>
        <v/>
      </c>
      <c r="Y75" s="21">
        <f>IFERROR(
        IF('Loan Tape (S&amp;P)'!AR75="Yes",
            LET(
                months_since,('Control Panel'!$B$10-'Loan Tape (S&amp;P)'!AS75)/30.44,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IFERROR(
        LET(
            is_btl,'Loan Tape (S&amp;P)'!L76="BTL",
            seasoning_months,('Control Panel'!$B$10-'Loan Tape (S&amp;P)'!F76)*12,
            threshold_months,VLOOKUP('Control Panel'!$B$6,'Jurisdiction Parameters'!$A:$F,6,FALSE),
            num_borr,'Loan Tape (S&amp;P)'!T76,
            balance,'Loan Tape (S&amp;P)'!B76,
            borr1_inc,'Loan Tape (S&amp;P)'!R76,
            borr2_inc,'Loan Tape (S&amp;P)'!S76,
            total_inc,'Loan Tape (S&amp;P)'!U76,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6" s="21">
        <f>IFERROR(
        IF('Loan Tape (S&amp;P)'!L76="BTL",
            LET(
                rental,'Loan Tape (S&amp;P)'!AV76,
                balance,'Loan Tape (S&amp;P)'!B76,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6" s="21">
        <f>IFERROR(
        IF('Loan Tape (S&amp;P)'!AS76="First",
            INDEX('FF Adj Parameters'!$B$20:$B$22,1),
            IF('Loan Tape (S&amp;P)'!AS76="Second",
                INDEX('FF Adj Parameters'!$B$20:$B$22,2),
                INDEX('FF Adj Parameters'!$B$20:$B$22,3)
            )
        ),
    1)</f>
        <v/>
      </c>
      <c r="K76" s="21">
        <f>IFERROR(
        IF('Loan Tape (S&amp;P)'!AS76&lt;&gt;"First",1.00,
            IF('Loan Tape (S&amp;P)'!M76="Cash-out",
                INDEX('FF Adj Parameters'!$B$26:$B$28,3),
            1.00)
        ),
    1)</f>
        <v/>
      </c>
      <c r="L76" s="21">
        <f>IFERROR(
        LET(
            arr_months,'Loan Tape (S&amp;P)'!AK76,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6" s="21">
        <f>IFERROR(
        IF('Loan Tape (S&amp;P)'!AK76=0,
            LET(
                years,('Control Panel'!$B$10-'Loan Tape (S&amp;P)'!F76)/365.25,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6" s="21">
        <f>IFERROR(
        LET(
            is_btl,'Loan Tape (S&amp;P)'!L76="BTL",
            is_htb,'Loan Tape (S&amp;P)'!Q76="Yes",
            is_ftb,'Loan Tape (S&amp;P)'!AP76="Yes",
            seasoning_months,('Control Panel'!$B$10-'Loan Tape (S&amp;P)'!F76)*12,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6" s="21">
        <f>IF('Loan Tape (S&amp;P)'!Q76="Yes",
        INDEX('FF Adj Parameters'!$B$42:$B$47,2),
    1.00)</f>
        <v/>
      </c>
      <c r="P76" s="21">
        <f>IF('Loan Tape (S&amp;P)'!P76="Yes",
        INDEX('FF Adj Parameters'!$B$42:$B$47,3),
    1.00)</f>
        <v/>
      </c>
      <c r="Q76" s="21">
        <f>IF('Loan Tape (S&amp;P)'!O76="Yes",
        INDEX('FF Adj Parameters'!$B$42:$B$47,4),
    1.00)</f>
        <v/>
      </c>
      <c r="R76" s="21">
        <f>IFERROR(
        LET(
            is_btl,'Loan Tape (S&amp;P)'!L76="BTL",
            is_self_cert,'Loan Tape (S&amp;P)'!AO76="Yes",
            is_performing,'Loan Tape (S&amp;P)'!AK76=0,
            IF(OR(is_btl,NOT(is_self_cert)),1.00,
                IF(is_performing,
                    LET(
                        months,('Control Panel'!$B$10-'Loan Tape (S&amp;P)'!F76)*12,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6" s="21">
        <f>IF('Loan Tape (S&amp;P)'!Q76="Yes",1.00,
        IF('Loan Tape (S&amp;P)'!AQ76="Yes",
            INDEX('FF Adj Parameters'!$B$42:$B$47,5),
        1.00))</f>
        <v/>
      </c>
      <c r="T76" s="21">
        <f>IFERROR(
        IF('Loan Tape (S&amp;P)'!N76&lt;&gt;"Interest Only",1.00,
            IF('Loan Tape (S&amp;P)'!L76="BTL",1.00,
                LET(
                    years_to_mat,('Loan Tape (S&amp;P)'!G76-'Control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6" s="21">
        <f>IF('Loan Tape (S&amp;P)'!L76="BTL",1.00,
        IF('Loan Tape (S&amp;P)'!X76="Yes",
            INDEX('FF Adj Parameters'!$B$58:$B$58,1),
        1.00))</f>
        <v/>
      </c>
      <c r="V76" s="21">
        <f>IF('Loan Tape (S&amp;P)'!AU76="Yes",
        INDEX('FF Adj Parameters'!$B$42:$B$47,6),
    1.00)</f>
        <v/>
      </c>
      <c r="W76" s="23">
        <f>IFERROR(
        LET(
            ccj_count,'Loan Tape (S&amp;P)'!AD76,
            ccj_value,'Loan Tape (S&amp;P)'!AG76,
            ccj_date,'Loan Tape (S&amp;P)'!AH76,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6" s="21">
        <f>1.00</f>
        <v/>
      </c>
      <c r="Y76" s="21">
        <f>IFERROR(
        IF('Loan Tape (S&amp;P)'!AR76="Yes",
            LET(
                months_since,('Control Panel'!$B$10-'Loan Tape (S&amp;P)'!AS76)/30.44,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IFERROR(
        LET(
            is_btl,'Loan Tape (S&amp;P)'!L77="BTL",
            seasoning_months,('Control Panel'!$B$10-'Loan Tape (S&amp;P)'!F77)*12,
            threshold_months,VLOOKUP('Control Panel'!$B$6,'Jurisdiction Parameters'!$A:$F,6,FALSE),
            num_borr,'Loan Tape (S&amp;P)'!T77,
            balance,'Loan Tape (S&amp;P)'!B77,
            borr1_inc,'Loan Tape (S&amp;P)'!R77,
            borr2_inc,'Loan Tape (S&amp;P)'!S77,
            total_inc,'Loan Tape (S&amp;P)'!U77,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7" s="21">
        <f>IFERROR(
        IF('Loan Tape (S&amp;P)'!L77="BTL",
            LET(
                rental,'Loan Tape (S&amp;P)'!AV77,
                balance,'Loan Tape (S&amp;P)'!B77,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7" s="21">
        <f>IFERROR(
        IF('Loan Tape (S&amp;P)'!AS77="First",
            INDEX('FF Adj Parameters'!$B$20:$B$22,1),
            IF('Loan Tape (S&amp;P)'!AS77="Second",
                INDEX('FF Adj Parameters'!$B$20:$B$22,2),
                INDEX('FF Adj Parameters'!$B$20:$B$22,3)
            )
        ),
    1)</f>
        <v/>
      </c>
      <c r="K77" s="21">
        <f>IFERROR(
        IF('Loan Tape (S&amp;P)'!AS77&lt;&gt;"First",1.00,
            IF('Loan Tape (S&amp;P)'!M77="Cash-out",
                INDEX('FF Adj Parameters'!$B$26:$B$28,3),
            1.00)
        ),
    1)</f>
        <v/>
      </c>
      <c r="L77" s="21">
        <f>IFERROR(
        LET(
            arr_months,'Loan Tape (S&amp;P)'!AK77,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7" s="21">
        <f>IFERROR(
        IF('Loan Tape (S&amp;P)'!AK77=0,
            LET(
                years,('Control Panel'!$B$10-'Loan Tape (S&amp;P)'!F77)/365.25,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7" s="21">
        <f>IFERROR(
        LET(
            is_btl,'Loan Tape (S&amp;P)'!L77="BTL",
            is_htb,'Loan Tape (S&amp;P)'!Q77="Yes",
            is_ftb,'Loan Tape (S&amp;P)'!AP77="Yes",
            seasoning_months,('Control Panel'!$B$10-'Loan Tape (S&amp;P)'!F77)*12,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7" s="21">
        <f>IF('Loan Tape (S&amp;P)'!Q77="Yes",
        INDEX('FF Adj Parameters'!$B$42:$B$47,2),
    1.00)</f>
        <v/>
      </c>
      <c r="P77" s="21">
        <f>IF('Loan Tape (S&amp;P)'!P77="Yes",
        INDEX('FF Adj Parameters'!$B$42:$B$47,3),
    1.00)</f>
        <v/>
      </c>
      <c r="Q77" s="21">
        <f>IF('Loan Tape (S&amp;P)'!O77="Yes",
        INDEX('FF Adj Parameters'!$B$42:$B$47,4),
    1.00)</f>
        <v/>
      </c>
      <c r="R77" s="21">
        <f>IFERROR(
        LET(
            is_btl,'Loan Tape (S&amp;P)'!L77="BTL",
            is_self_cert,'Loan Tape (S&amp;P)'!AO77="Yes",
            is_performing,'Loan Tape (S&amp;P)'!AK77=0,
            IF(OR(is_btl,NOT(is_self_cert)),1.00,
                IF(is_performing,
                    LET(
                        months,('Control Panel'!$B$10-'Loan Tape (S&amp;P)'!F77)*12,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7" s="21">
        <f>IF('Loan Tape (S&amp;P)'!Q77="Yes",1.00,
        IF('Loan Tape (S&amp;P)'!AQ77="Yes",
            INDEX('FF Adj Parameters'!$B$42:$B$47,5),
        1.00))</f>
        <v/>
      </c>
      <c r="T77" s="21">
        <f>IFERROR(
        IF('Loan Tape (S&amp;P)'!N77&lt;&gt;"Interest Only",1.00,
            IF('Loan Tape (S&amp;P)'!L77="BTL",1.00,
                LET(
                    years_to_mat,('Loan Tape (S&amp;P)'!G77-'Control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7" s="21">
        <f>IF('Loan Tape (S&amp;P)'!L77="BTL",1.00,
        IF('Loan Tape (S&amp;P)'!X77="Yes",
            INDEX('FF Adj Parameters'!$B$58:$B$58,1),
        1.00))</f>
        <v/>
      </c>
      <c r="V77" s="21">
        <f>IF('Loan Tape (S&amp;P)'!AU77="Yes",
        INDEX('FF Adj Parameters'!$B$42:$B$47,6),
    1.00)</f>
        <v/>
      </c>
      <c r="W77" s="23">
        <f>IFERROR(
        LET(
            ccj_count,'Loan Tape (S&amp;P)'!AD77,
            ccj_value,'Loan Tape (S&amp;P)'!AG77,
            ccj_date,'Loan Tape (S&amp;P)'!AH77,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7" s="21">
        <f>1.00</f>
        <v/>
      </c>
      <c r="Y77" s="21">
        <f>IFERROR(
        IF('Loan Tape (S&amp;P)'!AR77="Yes",
            LET(
                months_since,('Control Panel'!$B$10-'Loan Tape (S&amp;P)'!AS77)/30.44,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IFERROR(
        LET(
            is_btl,'Loan Tape (S&amp;P)'!L78="BTL",
            seasoning_months,('Control Panel'!$B$10-'Loan Tape (S&amp;P)'!F78)*12,
            threshold_months,VLOOKUP('Control Panel'!$B$6,'Jurisdiction Parameters'!$A:$F,6,FALSE),
            num_borr,'Loan Tape (S&amp;P)'!T78,
            balance,'Loan Tape (S&amp;P)'!B78,
            borr1_inc,'Loan Tape (S&amp;P)'!R78,
            borr2_inc,'Loan Tape (S&amp;P)'!S78,
            total_inc,'Loan Tape (S&amp;P)'!U78,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8" s="21">
        <f>IFERROR(
        IF('Loan Tape (S&amp;P)'!L78="BTL",
            LET(
                rental,'Loan Tape (S&amp;P)'!AV78,
                balance,'Loan Tape (S&amp;P)'!B78,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8" s="21">
        <f>IFERROR(
        IF('Loan Tape (S&amp;P)'!AS78="First",
            INDEX('FF Adj Parameters'!$B$20:$B$22,1),
            IF('Loan Tape (S&amp;P)'!AS78="Second",
                INDEX('FF Adj Parameters'!$B$20:$B$22,2),
                INDEX('FF Adj Parameters'!$B$20:$B$22,3)
            )
        ),
    1)</f>
        <v/>
      </c>
      <c r="K78" s="21">
        <f>IFERROR(
        IF('Loan Tape (S&amp;P)'!AS78&lt;&gt;"First",1.00,
            IF('Loan Tape (S&amp;P)'!M78="Cash-out",
                INDEX('FF Adj Parameters'!$B$26:$B$28,3),
            1.00)
        ),
    1)</f>
        <v/>
      </c>
      <c r="L78" s="21">
        <f>IFERROR(
        LET(
            arr_months,'Loan Tape (S&amp;P)'!AK78,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8" s="21">
        <f>IFERROR(
        IF('Loan Tape (S&amp;P)'!AK78=0,
            LET(
                years,('Control Panel'!$B$10-'Loan Tape (S&amp;P)'!F78)/365.25,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8" s="21">
        <f>IFERROR(
        LET(
            is_btl,'Loan Tape (S&amp;P)'!L78="BTL",
            is_htb,'Loan Tape (S&amp;P)'!Q78="Yes",
            is_ftb,'Loan Tape (S&amp;P)'!AP78="Yes",
            seasoning_months,('Control Panel'!$B$10-'Loan Tape (S&amp;P)'!F78)*12,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8" s="21">
        <f>IF('Loan Tape (S&amp;P)'!Q78="Yes",
        INDEX('FF Adj Parameters'!$B$42:$B$47,2),
    1.00)</f>
        <v/>
      </c>
      <c r="P78" s="21">
        <f>IF('Loan Tape (S&amp;P)'!P78="Yes",
        INDEX('FF Adj Parameters'!$B$42:$B$47,3),
    1.00)</f>
        <v/>
      </c>
      <c r="Q78" s="21">
        <f>IF('Loan Tape (S&amp;P)'!O78="Yes",
        INDEX('FF Adj Parameters'!$B$42:$B$47,4),
    1.00)</f>
        <v/>
      </c>
      <c r="R78" s="21">
        <f>IFERROR(
        LET(
            is_btl,'Loan Tape (S&amp;P)'!L78="BTL",
            is_self_cert,'Loan Tape (S&amp;P)'!AO78="Yes",
            is_performing,'Loan Tape (S&amp;P)'!AK78=0,
            IF(OR(is_btl,NOT(is_self_cert)),1.00,
                IF(is_performing,
                    LET(
                        months,('Control Panel'!$B$10-'Loan Tape (S&amp;P)'!F78)*12,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8" s="21">
        <f>IF('Loan Tape (S&amp;P)'!Q78="Yes",1.00,
        IF('Loan Tape (S&amp;P)'!AQ78="Yes",
            INDEX('FF Adj Parameters'!$B$42:$B$47,5),
        1.00))</f>
        <v/>
      </c>
      <c r="T78" s="21">
        <f>IFERROR(
        IF('Loan Tape (S&amp;P)'!N78&lt;&gt;"Interest Only",1.00,
            IF('Loan Tape (S&amp;P)'!L78="BTL",1.00,
                LET(
                    years_to_mat,('Loan Tape (S&amp;P)'!G78-'Control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8" s="21">
        <f>IF('Loan Tape (S&amp;P)'!L78="BTL",1.00,
        IF('Loan Tape (S&amp;P)'!X78="Yes",
            INDEX('FF Adj Parameters'!$B$58:$B$58,1),
        1.00))</f>
        <v/>
      </c>
      <c r="V78" s="21">
        <f>IF('Loan Tape (S&amp;P)'!AU78="Yes",
        INDEX('FF Adj Parameters'!$B$42:$B$47,6),
    1.00)</f>
        <v/>
      </c>
      <c r="W78" s="23">
        <f>IFERROR(
        LET(
            ccj_count,'Loan Tape (S&amp;P)'!AD78,
            ccj_value,'Loan Tape (S&amp;P)'!AG78,
            ccj_date,'Loan Tape (S&amp;P)'!AH78,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8" s="21">
        <f>1.00</f>
        <v/>
      </c>
      <c r="Y78" s="21">
        <f>IFERROR(
        IF('Loan Tape (S&amp;P)'!AR78="Yes",
            LET(
                months_since,('Control Panel'!$B$10-'Loan Tape (S&amp;P)'!AS78)/30.44,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IFERROR(
        LET(
            is_btl,'Loan Tape (S&amp;P)'!L79="BTL",
            seasoning_months,('Control Panel'!$B$10-'Loan Tape (S&amp;P)'!F79)*12,
            threshold_months,VLOOKUP('Control Panel'!$B$6,'Jurisdiction Parameters'!$A:$F,6,FALSE),
            num_borr,'Loan Tape (S&amp;P)'!T79,
            balance,'Loan Tape (S&amp;P)'!B79,
            borr1_inc,'Loan Tape (S&amp;P)'!R79,
            borr2_inc,'Loan Tape (S&amp;P)'!S79,
            total_inc,'Loan Tape (S&amp;P)'!U79,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79" s="21">
        <f>IFERROR(
        IF('Loan Tape (S&amp;P)'!L79="BTL",
            LET(
                rental,'Loan Tape (S&amp;P)'!AV79,
                balance,'Loan Tape (S&amp;P)'!B79,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79" s="21">
        <f>IFERROR(
        IF('Loan Tape (S&amp;P)'!AS79="First",
            INDEX('FF Adj Parameters'!$B$20:$B$22,1),
            IF('Loan Tape (S&amp;P)'!AS79="Second",
                INDEX('FF Adj Parameters'!$B$20:$B$22,2),
                INDEX('FF Adj Parameters'!$B$20:$B$22,3)
            )
        ),
    1)</f>
        <v/>
      </c>
      <c r="K79" s="21">
        <f>IFERROR(
        IF('Loan Tape (S&amp;P)'!AS79&lt;&gt;"First",1.00,
            IF('Loan Tape (S&amp;P)'!M79="Cash-out",
                INDEX('FF Adj Parameters'!$B$26:$B$28,3),
            1.00)
        ),
    1)</f>
        <v/>
      </c>
      <c r="L79" s="21">
        <f>IFERROR(
        LET(
            arr_months,'Loan Tape (S&amp;P)'!AK79,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79" s="21">
        <f>IFERROR(
        IF('Loan Tape (S&amp;P)'!AK79=0,
            LET(
                years,('Control Panel'!$B$10-'Loan Tape (S&amp;P)'!F79)/365.25,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79" s="21">
        <f>IFERROR(
        LET(
            is_btl,'Loan Tape (S&amp;P)'!L79="BTL",
            is_htb,'Loan Tape (S&amp;P)'!Q79="Yes",
            is_ftb,'Loan Tape (S&amp;P)'!AP79="Yes",
            seasoning_months,('Control Panel'!$B$10-'Loan Tape (S&amp;P)'!F79)*12,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79" s="21">
        <f>IF('Loan Tape (S&amp;P)'!Q79="Yes",
        INDEX('FF Adj Parameters'!$B$42:$B$47,2),
    1.00)</f>
        <v/>
      </c>
      <c r="P79" s="21">
        <f>IF('Loan Tape (S&amp;P)'!P79="Yes",
        INDEX('FF Adj Parameters'!$B$42:$B$47,3),
    1.00)</f>
        <v/>
      </c>
      <c r="Q79" s="21">
        <f>IF('Loan Tape (S&amp;P)'!O79="Yes",
        INDEX('FF Adj Parameters'!$B$42:$B$47,4),
    1.00)</f>
        <v/>
      </c>
      <c r="R79" s="21">
        <f>IFERROR(
        LET(
            is_btl,'Loan Tape (S&amp;P)'!L79="BTL",
            is_self_cert,'Loan Tape (S&amp;P)'!AO79="Yes",
            is_performing,'Loan Tape (S&amp;P)'!AK79=0,
            IF(OR(is_btl,NOT(is_self_cert)),1.00,
                IF(is_performing,
                    LET(
                        months,('Control Panel'!$B$10-'Loan Tape (S&amp;P)'!F79)*12,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79" s="21">
        <f>IF('Loan Tape (S&amp;P)'!Q79="Yes",1.00,
        IF('Loan Tape (S&amp;P)'!AQ79="Yes",
            INDEX('FF Adj Parameters'!$B$42:$B$47,5),
        1.00))</f>
        <v/>
      </c>
      <c r="T79" s="21">
        <f>IFERROR(
        IF('Loan Tape (S&amp;P)'!N79&lt;&gt;"Interest Only",1.00,
            IF('Loan Tape (S&amp;P)'!L79="BTL",1.00,
                LET(
                    years_to_mat,('Loan Tape (S&amp;P)'!G79-'Control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79" s="21">
        <f>IF('Loan Tape (S&amp;P)'!L79="BTL",1.00,
        IF('Loan Tape (S&amp;P)'!X79="Yes",
            INDEX('FF Adj Parameters'!$B$58:$B$58,1),
        1.00))</f>
        <v/>
      </c>
      <c r="V79" s="21">
        <f>IF('Loan Tape (S&amp;P)'!AU79="Yes",
        INDEX('FF Adj Parameters'!$B$42:$B$47,6),
    1.00)</f>
        <v/>
      </c>
      <c r="W79" s="23">
        <f>IFERROR(
        LET(
            ccj_count,'Loan Tape (S&amp;P)'!AD79,
            ccj_value,'Loan Tape (S&amp;P)'!AG79,
            ccj_date,'Loan Tape (S&amp;P)'!AH79,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79" s="21">
        <f>1.00</f>
        <v/>
      </c>
      <c r="Y79" s="21">
        <f>IFERROR(
        IF('Loan Tape (S&amp;P)'!AR79="Yes",
            LET(
                months_since,('Control Panel'!$B$10-'Loan Tape (S&amp;P)'!AS79)/30.44,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IFERROR(
        LET(
            is_btl,'Loan Tape (S&amp;P)'!L80="BTL",
            seasoning_months,('Control Panel'!$B$10-'Loan Tape (S&amp;P)'!F80)*12,
            threshold_months,VLOOKUP('Control Panel'!$B$6,'Jurisdiction Parameters'!$A:$F,6,FALSE),
            num_borr,'Loan Tape (S&amp;P)'!T80,
            balance,'Loan Tape (S&amp;P)'!B80,
            borr1_inc,'Loan Tape (S&amp;P)'!R80,
            borr2_inc,'Loan Tape (S&amp;P)'!S80,
            total_inc,'Loan Tape (S&amp;P)'!U80,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0" s="21">
        <f>IFERROR(
        IF('Loan Tape (S&amp;P)'!L80="BTL",
            LET(
                rental,'Loan Tape (S&amp;P)'!AV80,
                balance,'Loan Tape (S&amp;P)'!B80,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0" s="21">
        <f>IFERROR(
        IF('Loan Tape (S&amp;P)'!AS80="First",
            INDEX('FF Adj Parameters'!$B$20:$B$22,1),
            IF('Loan Tape (S&amp;P)'!AS80="Second",
                INDEX('FF Adj Parameters'!$B$20:$B$22,2),
                INDEX('FF Adj Parameters'!$B$20:$B$22,3)
            )
        ),
    1)</f>
        <v/>
      </c>
      <c r="K80" s="21">
        <f>IFERROR(
        IF('Loan Tape (S&amp;P)'!AS80&lt;&gt;"First",1.00,
            IF('Loan Tape (S&amp;P)'!M80="Cash-out",
                INDEX('FF Adj Parameters'!$B$26:$B$28,3),
            1.00)
        ),
    1)</f>
        <v/>
      </c>
      <c r="L80" s="21">
        <f>IFERROR(
        LET(
            arr_months,'Loan Tape (S&amp;P)'!AK80,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0" s="21">
        <f>IFERROR(
        IF('Loan Tape (S&amp;P)'!AK80=0,
            LET(
                years,('Control Panel'!$B$10-'Loan Tape (S&amp;P)'!F80)/365.25,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0" s="21">
        <f>IFERROR(
        LET(
            is_btl,'Loan Tape (S&amp;P)'!L80="BTL",
            is_htb,'Loan Tape (S&amp;P)'!Q80="Yes",
            is_ftb,'Loan Tape (S&amp;P)'!AP80="Yes",
            seasoning_months,('Control Panel'!$B$10-'Loan Tape (S&amp;P)'!F80)*12,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0" s="21">
        <f>IF('Loan Tape (S&amp;P)'!Q80="Yes",
        INDEX('FF Adj Parameters'!$B$42:$B$47,2),
    1.00)</f>
        <v/>
      </c>
      <c r="P80" s="21">
        <f>IF('Loan Tape (S&amp;P)'!P80="Yes",
        INDEX('FF Adj Parameters'!$B$42:$B$47,3),
    1.00)</f>
        <v/>
      </c>
      <c r="Q80" s="21">
        <f>IF('Loan Tape (S&amp;P)'!O80="Yes",
        INDEX('FF Adj Parameters'!$B$42:$B$47,4),
    1.00)</f>
        <v/>
      </c>
      <c r="R80" s="21">
        <f>IFERROR(
        LET(
            is_btl,'Loan Tape (S&amp;P)'!L80="BTL",
            is_self_cert,'Loan Tape (S&amp;P)'!AO80="Yes",
            is_performing,'Loan Tape (S&amp;P)'!AK80=0,
            IF(OR(is_btl,NOT(is_self_cert)),1.00,
                IF(is_performing,
                    LET(
                        months,('Control Panel'!$B$10-'Loan Tape (S&amp;P)'!F80)*12,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0" s="21">
        <f>IF('Loan Tape (S&amp;P)'!Q80="Yes",1.00,
        IF('Loan Tape (S&amp;P)'!AQ80="Yes",
            INDEX('FF Adj Parameters'!$B$42:$B$47,5),
        1.00))</f>
        <v/>
      </c>
      <c r="T80" s="21">
        <f>IFERROR(
        IF('Loan Tape (S&amp;P)'!N80&lt;&gt;"Interest Only",1.00,
            IF('Loan Tape (S&amp;P)'!L80="BTL",1.00,
                LET(
                    years_to_mat,('Loan Tape (S&amp;P)'!G80-'Control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0" s="21">
        <f>IF('Loan Tape (S&amp;P)'!L80="BTL",1.00,
        IF('Loan Tape (S&amp;P)'!X80="Yes",
            INDEX('FF Adj Parameters'!$B$58:$B$58,1),
        1.00))</f>
        <v/>
      </c>
      <c r="V80" s="21">
        <f>IF('Loan Tape (S&amp;P)'!AU80="Yes",
        INDEX('FF Adj Parameters'!$B$42:$B$47,6),
    1.00)</f>
        <v/>
      </c>
      <c r="W80" s="23">
        <f>IFERROR(
        LET(
            ccj_count,'Loan Tape (S&amp;P)'!AD80,
            ccj_value,'Loan Tape (S&amp;P)'!AG80,
            ccj_date,'Loan Tape (S&amp;P)'!AH80,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0" s="21">
        <f>1.00</f>
        <v/>
      </c>
      <c r="Y80" s="21">
        <f>IFERROR(
        IF('Loan Tape (S&amp;P)'!AR80="Yes",
            LET(
                months_since,('Control Panel'!$B$10-'Loan Tape (S&amp;P)'!AS80)/30.44,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IFERROR(
        LET(
            is_btl,'Loan Tape (S&amp;P)'!L81="BTL",
            seasoning_months,('Control Panel'!$B$10-'Loan Tape (S&amp;P)'!F81)*12,
            threshold_months,VLOOKUP('Control Panel'!$B$6,'Jurisdiction Parameters'!$A:$F,6,FALSE),
            num_borr,'Loan Tape (S&amp;P)'!T81,
            balance,'Loan Tape (S&amp;P)'!B81,
            borr1_inc,'Loan Tape (S&amp;P)'!R81,
            borr2_inc,'Loan Tape (S&amp;P)'!S81,
            total_inc,'Loan Tape (S&amp;P)'!U81,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1" s="21">
        <f>IFERROR(
        IF('Loan Tape (S&amp;P)'!L81="BTL",
            LET(
                rental,'Loan Tape (S&amp;P)'!AV81,
                balance,'Loan Tape (S&amp;P)'!B81,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1" s="21">
        <f>IFERROR(
        IF('Loan Tape (S&amp;P)'!AS81="First",
            INDEX('FF Adj Parameters'!$B$20:$B$22,1),
            IF('Loan Tape (S&amp;P)'!AS81="Second",
                INDEX('FF Adj Parameters'!$B$20:$B$22,2),
                INDEX('FF Adj Parameters'!$B$20:$B$22,3)
            )
        ),
    1)</f>
        <v/>
      </c>
      <c r="K81" s="21">
        <f>IFERROR(
        IF('Loan Tape (S&amp;P)'!AS81&lt;&gt;"First",1.00,
            IF('Loan Tape (S&amp;P)'!M81="Cash-out",
                INDEX('FF Adj Parameters'!$B$26:$B$28,3),
            1.00)
        ),
    1)</f>
        <v/>
      </c>
      <c r="L81" s="21">
        <f>IFERROR(
        LET(
            arr_months,'Loan Tape (S&amp;P)'!AK81,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1" s="21">
        <f>IFERROR(
        IF('Loan Tape (S&amp;P)'!AK81=0,
            LET(
                years,('Control Panel'!$B$10-'Loan Tape (S&amp;P)'!F81)/365.25,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1" s="21">
        <f>IFERROR(
        LET(
            is_btl,'Loan Tape (S&amp;P)'!L81="BTL",
            is_htb,'Loan Tape (S&amp;P)'!Q81="Yes",
            is_ftb,'Loan Tape (S&amp;P)'!AP81="Yes",
            seasoning_months,('Control Panel'!$B$10-'Loan Tape (S&amp;P)'!F81)*12,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1" s="21">
        <f>IF('Loan Tape (S&amp;P)'!Q81="Yes",
        INDEX('FF Adj Parameters'!$B$42:$B$47,2),
    1.00)</f>
        <v/>
      </c>
      <c r="P81" s="21">
        <f>IF('Loan Tape (S&amp;P)'!P81="Yes",
        INDEX('FF Adj Parameters'!$B$42:$B$47,3),
    1.00)</f>
        <v/>
      </c>
      <c r="Q81" s="21">
        <f>IF('Loan Tape (S&amp;P)'!O81="Yes",
        INDEX('FF Adj Parameters'!$B$42:$B$47,4),
    1.00)</f>
        <v/>
      </c>
      <c r="R81" s="21">
        <f>IFERROR(
        LET(
            is_btl,'Loan Tape (S&amp;P)'!L81="BTL",
            is_self_cert,'Loan Tape (S&amp;P)'!AO81="Yes",
            is_performing,'Loan Tape (S&amp;P)'!AK81=0,
            IF(OR(is_btl,NOT(is_self_cert)),1.00,
                IF(is_performing,
                    LET(
                        months,('Control Panel'!$B$10-'Loan Tape (S&amp;P)'!F81)*12,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1" s="21">
        <f>IF('Loan Tape (S&amp;P)'!Q81="Yes",1.00,
        IF('Loan Tape (S&amp;P)'!AQ81="Yes",
            INDEX('FF Adj Parameters'!$B$42:$B$47,5),
        1.00))</f>
        <v/>
      </c>
      <c r="T81" s="21">
        <f>IFERROR(
        IF('Loan Tape (S&amp;P)'!N81&lt;&gt;"Interest Only",1.00,
            IF('Loan Tape (S&amp;P)'!L81="BTL",1.00,
                LET(
                    years_to_mat,('Loan Tape (S&amp;P)'!G81-'Control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1" s="21">
        <f>IF('Loan Tape (S&amp;P)'!L81="BTL",1.00,
        IF('Loan Tape (S&amp;P)'!X81="Yes",
            INDEX('FF Adj Parameters'!$B$58:$B$58,1),
        1.00))</f>
        <v/>
      </c>
      <c r="V81" s="21">
        <f>IF('Loan Tape (S&amp;P)'!AU81="Yes",
        INDEX('FF Adj Parameters'!$B$42:$B$47,6),
    1.00)</f>
        <v/>
      </c>
      <c r="W81" s="23">
        <f>IFERROR(
        LET(
            ccj_count,'Loan Tape (S&amp;P)'!AD81,
            ccj_value,'Loan Tape (S&amp;P)'!AG81,
            ccj_date,'Loan Tape (S&amp;P)'!AH81,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1" s="21">
        <f>1.00</f>
        <v/>
      </c>
      <c r="Y81" s="21">
        <f>IFERROR(
        IF('Loan Tape (S&amp;P)'!AR81="Yes",
            LET(
                months_since,('Control Panel'!$B$10-'Loan Tape (S&amp;P)'!AS81)/30.44,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IFERROR(
        LET(
            is_btl,'Loan Tape (S&amp;P)'!L82="BTL",
            seasoning_months,('Control Panel'!$B$10-'Loan Tape (S&amp;P)'!F82)*12,
            threshold_months,VLOOKUP('Control Panel'!$B$6,'Jurisdiction Parameters'!$A:$F,6,FALSE),
            num_borr,'Loan Tape (S&amp;P)'!T82,
            balance,'Loan Tape (S&amp;P)'!B82,
            borr1_inc,'Loan Tape (S&amp;P)'!R82,
            borr2_inc,'Loan Tape (S&amp;P)'!S82,
            total_inc,'Loan Tape (S&amp;P)'!U82,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2" s="21">
        <f>IFERROR(
        IF('Loan Tape (S&amp;P)'!L82="BTL",
            LET(
                rental,'Loan Tape (S&amp;P)'!AV82,
                balance,'Loan Tape (S&amp;P)'!B82,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2" s="21">
        <f>IFERROR(
        IF('Loan Tape (S&amp;P)'!AS82="First",
            INDEX('FF Adj Parameters'!$B$20:$B$22,1),
            IF('Loan Tape (S&amp;P)'!AS82="Second",
                INDEX('FF Adj Parameters'!$B$20:$B$22,2),
                INDEX('FF Adj Parameters'!$B$20:$B$22,3)
            )
        ),
    1)</f>
        <v/>
      </c>
      <c r="K82" s="21">
        <f>IFERROR(
        IF('Loan Tape (S&amp;P)'!AS82&lt;&gt;"First",1.00,
            IF('Loan Tape (S&amp;P)'!M82="Cash-out",
                INDEX('FF Adj Parameters'!$B$26:$B$28,3),
            1.00)
        ),
    1)</f>
        <v/>
      </c>
      <c r="L82" s="21">
        <f>IFERROR(
        LET(
            arr_months,'Loan Tape (S&amp;P)'!AK82,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2" s="21">
        <f>IFERROR(
        IF('Loan Tape (S&amp;P)'!AK82=0,
            LET(
                years,('Control Panel'!$B$10-'Loan Tape (S&amp;P)'!F82)/365.25,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2" s="21">
        <f>IFERROR(
        LET(
            is_btl,'Loan Tape (S&amp;P)'!L82="BTL",
            is_htb,'Loan Tape (S&amp;P)'!Q82="Yes",
            is_ftb,'Loan Tape (S&amp;P)'!AP82="Yes",
            seasoning_months,('Control Panel'!$B$10-'Loan Tape (S&amp;P)'!F82)*12,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2" s="21">
        <f>IF('Loan Tape (S&amp;P)'!Q82="Yes",
        INDEX('FF Adj Parameters'!$B$42:$B$47,2),
    1.00)</f>
        <v/>
      </c>
      <c r="P82" s="21">
        <f>IF('Loan Tape (S&amp;P)'!P82="Yes",
        INDEX('FF Adj Parameters'!$B$42:$B$47,3),
    1.00)</f>
        <v/>
      </c>
      <c r="Q82" s="21">
        <f>IF('Loan Tape (S&amp;P)'!O82="Yes",
        INDEX('FF Adj Parameters'!$B$42:$B$47,4),
    1.00)</f>
        <v/>
      </c>
      <c r="R82" s="21">
        <f>IFERROR(
        LET(
            is_btl,'Loan Tape (S&amp;P)'!L82="BTL",
            is_self_cert,'Loan Tape (S&amp;P)'!AO82="Yes",
            is_performing,'Loan Tape (S&amp;P)'!AK82=0,
            IF(OR(is_btl,NOT(is_self_cert)),1.00,
                IF(is_performing,
                    LET(
                        months,('Control Panel'!$B$10-'Loan Tape (S&amp;P)'!F82)*12,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2" s="21">
        <f>IF('Loan Tape (S&amp;P)'!Q82="Yes",1.00,
        IF('Loan Tape (S&amp;P)'!AQ82="Yes",
            INDEX('FF Adj Parameters'!$B$42:$B$47,5),
        1.00))</f>
        <v/>
      </c>
      <c r="T82" s="21">
        <f>IFERROR(
        IF('Loan Tape (S&amp;P)'!N82&lt;&gt;"Interest Only",1.00,
            IF('Loan Tape (S&amp;P)'!L82="BTL",1.00,
                LET(
                    years_to_mat,('Loan Tape (S&amp;P)'!G82-'Control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2" s="21">
        <f>IF('Loan Tape (S&amp;P)'!L82="BTL",1.00,
        IF('Loan Tape (S&amp;P)'!X82="Yes",
            INDEX('FF Adj Parameters'!$B$58:$B$58,1),
        1.00))</f>
        <v/>
      </c>
      <c r="V82" s="21">
        <f>IF('Loan Tape (S&amp;P)'!AU82="Yes",
        INDEX('FF Adj Parameters'!$B$42:$B$47,6),
    1.00)</f>
        <v/>
      </c>
      <c r="W82" s="23">
        <f>IFERROR(
        LET(
            ccj_count,'Loan Tape (S&amp;P)'!AD82,
            ccj_value,'Loan Tape (S&amp;P)'!AG82,
            ccj_date,'Loan Tape (S&amp;P)'!AH82,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2" s="21">
        <f>1.00</f>
        <v/>
      </c>
      <c r="Y82" s="21">
        <f>IFERROR(
        IF('Loan Tape (S&amp;P)'!AR82="Yes",
            LET(
                months_since,('Control Panel'!$B$10-'Loan Tape (S&amp;P)'!AS82)/30.44,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IFERROR(
        LET(
            is_btl,'Loan Tape (S&amp;P)'!L83="BTL",
            seasoning_months,('Control Panel'!$B$10-'Loan Tape (S&amp;P)'!F83)*12,
            threshold_months,VLOOKUP('Control Panel'!$B$6,'Jurisdiction Parameters'!$A:$F,6,FALSE),
            num_borr,'Loan Tape (S&amp;P)'!T83,
            balance,'Loan Tape (S&amp;P)'!B83,
            borr1_inc,'Loan Tape (S&amp;P)'!R83,
            borr2_inc,'Loan Tape (S&amp;P)'!S83,
            total_inc,'Loan Tape (S&amp;P)'!U83,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3" s="21">
        <f>IFERROR(
        IF('Loan Tape (S&amp;P)'!L83="BTL",
            LET(
                rental,'Loan Tape (S&amp;P)'!AV83,
                balance,'Loan Tape (S&amp;P)'!B83,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3" s="21">
        <f>IFERROR(
        IF('Loan Tape (S&amp;P)'!AS83="First",
            INDEX('FF Adj Parameters'!$B$20:$B$22,1),
            IF('Loan Tape (S&amp;P)'!AS83="Second",
                INDEX('FF Adj Parameters'!$B$20:$B$22,2),
                INDEX('FF Adj Parameters'!$B$20:$B$22,3)
            )
        ),
    1)</f>
        <v/>
      </c>
      <c r="K83" s="21">
        <f>IFERROR(
        IF('Loan Tape (S&amp;P)'!AS83&lt;&gt;"First",1.00,
            IF('Loan Tape (S&amp;P)'!M83="Cash-out",
                INDEX('FF Adj Parameters'!$B$26:$B$28,3),
            1.00)
        ),
    1)</f>
        <v/>
      </c>
      <c r="L83" s="21">
        <f>IFERROR(
        LET(
            arr_months,'Loan Tape (S&amp;P)'!AK83,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3" s="21">
        <f>IFERROR(
        IF('Loan Tape (S&amp;P)'!AK83=0,
            LET(
                years,('Control Panel'!$B$10-'Loan Tape (S&amp;P)'!F83)/365.25,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3" s="21">
        <f>IFERROR(
        LET(
            is_btl,'Loan Tape (S&amp;P)'!L83="BTL",
            is_htb,'Loan Tape (S&amp;P)'!Q83="Yes",
            is_ftb,'Loan Tape (S&amp;P)'!AP83="Yes",
            seasoning_months,('Control Panel'!$B$10-'Loan Tape (S&amp;P)'!F83)*12,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3" s="21">
        <f>IF('Loan Tape (S&amp;P)'!Q83="Yes",
        INDEX('FF Adj Parameters'!$B$42:$B$47,2),
    1.00)</f>
        <v/>
      </c>
      <c r="P83" s="21">
        <f>IF('Loan Tape (S&amp;P)'!P83="Yes",
        INDEX('FF Adj Parameters'!$B$42:$B$47,3),
    1.00)</f>
        <v/>
      </c>
      <c r="Q83" s="21">
        <f>IF('Loan Tape (S&amp;P)'!O83="Yes",
        INDEX('FF Adj Parameters'!$B$42:$B$47,4),
    1.00)</f>
        <v/>
      </c>
      <c r="R83" s="21">
        <f>IFERROR(
        LET(
            is_btl,'Loan Tape (S&amp;P)'!L83="BTL",
            is_self_cert,'Loan Tape (S&amp;P)'!AO83="Yes",
            is_performing,'Loan Tape (S&amp;P)'!AK83=0,
            IF(OR(is_btl,NOT(is_self_cert)),1.00,
                IF(is_performing,
                    LET(
                        months,('Control Panel'!$B$10-'Loan Tape (S&amp;P)'!F83)*12,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3" s="21">
        <f>IF('Loan Tape (S&amp;P)'!Q83="Yes",1.00,
        IF('Loan Tape (S&amp;P)'!AQ83="Yes",
            INDEX('FF Adj Parameters'!$B$42:$B$47,5),
        1.00))</f>
        <v/>
      </c>
      <c r="T83" s="21">
        <f>IFERROR(
        IF('Loan Tape (S&amp;P)'!N83&lt;&gt;"Interest Only",1.00,
            IF('Loan Tape (S&amp;P)'!L83="BTL",1.00,
                LET(
                    years_to_mat,('Loan Tape (S&amp;P)'!G83-'Control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3" s="21">
        <f>IF('Loan Tape (S&amp;P)'!L83="BTL",1.00,
        IF('Loan Tape (S&amp;P)'!X83="Yes",
            INDEX('FF Adj Parameters'!$B$58:$B$58,1),
        1.00))</f>
        <v/>
      </c>
      <c r="V83" s="21">
        <f>IF('Loan Tape (S&amp;P)'!AU83="Yes",
        INDEX('FF Adj Parameters'!$B$42:$B$47,6),
    1.00)</f>
        <v/>
      </c>
      <c r="W83" s="23">
        <f>IFERROR(
        LET(
            ccj_count,'Loan Tape (S&amp;P)'!AD83,
            ccj_value,'Loan Tape (S&amp;P)'!AG83,
            ccj_date,'Loan Tape (S&amp;P)'!AH83,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3" s="21">
        <f>1.00</f>
        <v/>
      </c>
      <c r="Y83" s="21">
        <f>IFERROR(
        IF('Loan Tape (S&amp;P)'!AR83="Yes",
            LET(
                months_since,('Control Panel'!$B$10-'Loan Tape (S&amp;P)'!AS83)/30.44,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IFERROR(
        LET(
            is_btl,'Loan Tape (S&amp;P)'!L84="BTL",
            seasoning_months,('Control Panel'!$B$10-'Loan Tape (S&amp;P)'!F84)*12,
            threshold_months,VLOOKUP('Control Panel'!$B$6,'Jurisdiction Parameters'!$A:$F,6,FALSE),
            num_borr,'Loan Tape (S&amp;P)'!T84,
            balance,'Loan Tape (S&amp;P)'!B84,
            borr1_inc,'Loan Tape (S&amp;P)'!R84,
            borr2_inc,'Loan Tape (S&amp;P)'!S84,
            total_inc,'Loan Tape (S&amp;P)'!U84,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4" s="21">
        <f>IFERROR(
        IF('Loan Tape (S&amp;P)'!L84="BTL",
            LET(
                rental,'Loan Tape (S&amp;P)'!AV84,
                balance,'Loan Tape (S&amp;P)'!B84,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4" s="21">
        <f>IFERROR(
        IF('Loan Tape (S&amp;P)'!AS84="First",
            INDEX('FF Adj Parameters'!$B$20:$B$22,1),
            IF('Loan Tape (S&amp;P)'!AS84="Second",
                INDEX('FF Adj Parameters'!$B$20:$B$22,2),
                INDEX('FF Adj Parameters'!$B$20:$B$22,3)
            )
        ),
    1)</f>
        <v/>
      </c>
      <c r="K84" s="21">
        <f>IFERROR(
        IF('Loan Tape (S&amp;P)'!AS84&lt;&gt;"First",1.00,
            IF('Loan Tape (S&amp;P)'!M84="Cash-out",
                INDEX('FF Adj Parameters'!$B$26:$B$28,3),
            1.00)
        ),
    1)</f>
        <v/>
      </c>
      <c r="L84" s="21">
        <f>IFERROR(
        LET(
            arr_months,'Loan Tape (S&amp;P)'!AK84,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4" s="21">
        <f>IFERROR(
        IF('Loan Tape (S&amp;P)'!AK84=0,
            LET(
                years,('Control Panel'!$B$10-'Loan Tape (S&amp;P)'!F84)/365.25,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4" s="21">
        <f>IFERROR(
        LET(
            is_btl,'Loan Tape (S&amp;P)'!L84="BTL",
            is_htb,'Loan Tape (S&amp;P)'!Q84="Yes",
            is_ftb,'Loan Tape (S&amp;P)'!AP84="Yes",
            seasoning_months,('Control Panel'!$B$10-'Loan Tape (S&amp;P)'!F84)*12,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4" s="21">
        <f>IF('Loan Tape (S&amp;P)'!Q84="Yes",
        INDEX('FF Adj Parameters'!$B$42:$B$47,2),
    1.00)</f>
        <v/>
      </c>
      <c r="P84" s="21">
        <f>IF('Loan Tape (S&amp;P)'!P84="Yes",
        INDEX('FF Adj Parameters'!$B$42:$B$47,3),
    1.00)</f>
        <v/>
      </c>
      <c r="Q84" s="21">
        <f>IF('Loan Tape (S&amp;P)'!O84="Yes",
        INDEX('FF Adj Parameters'!$B$42:$B$47,4),
    1.00)</f>
        <v/>
      </c>
      <c r="R84" s="21">
        <f>IFERROR(
        LET(
            is_btl,'Loan Tape (S&amp;P)'!L84="BTL",
            is_self_cert,'Loan Tape (S&amp;P)'!AO84="Yes",
            is_performing,'Loan Tape (S&amp;P)'!AK84=0,
            IF(OR(is_btl,NOT(is_self_cert)),1.00,
                IF(is_performing,
                    LET(
                        months,('Control Panel'!$B$10-'Loan Tape (S&amp;P)'!F84)*12,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4" s="21">
        <f>IF('Loan Tape (S&amp;P)'!Q84="Yes",1.00,
        IF('Loan Tape (S&amp;P)'!AQ84="Yes",
            INDEX('FF Adj Parameters'!$B$42:$B$47,5),
        1.00))</f>
        <v/>
      </c>
      <c r="T84" s="21">
        <f>IFERROR(
        IF('Loan Tape (S&amp;P)'!N84&lt;&gt;"Interest Only",1.00,
            IF('Loan Tape (S&amp;P)'!L84="BTL",1.00,
                LET(
                    years_to_mat,('Loan Tape (S&amp;P)'!G84-'Control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4" s="21">
        <f>IF('Loan Tape (S&amp;P)'!L84="BTL",1.00,
        IF('Loan Tape (S&amp;P)'!X84="Yes",
            INDEX('FF Adj Parameters'!$B$58:$B$58,1),
        1.00))</f>
        <v/>
      </c>
      <c r="V84" s="21">
        <f>IF('Loan Tape (S&amp;P)'!AU84="Yes",
        INDEX('FF Adj Parameters'!$B$42:$B$47,6),
    1.00)</f>
        <v/>
      </c>
      <c r="W84" s="23">
        <f>IFERROR(
        LET(
            ccj_count,'Loan Tape (S&amp;P)'!AD84,
            ccj_value,'Loan Tape (S&amp;P)'!AG84,
            ccj_date,'Loan Tape (S&amp;P)'!AH84,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4" s="21">
        <f>1.00</f>
        <v/>
      </c>
      <c r="Y84" s="21">
        <f>IFERROR(
        IF('Loan Tape (S&amp;P)'!AR84="Yes",
            LET(
                months_since,('Control Panel'!$B$10-'Loan Tape (S&amp;P)'!AS84)/30.44,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IFERROR(
        LET(
            is_btl,'Loan Tape (S&amp;P)'!L85="BTL",
            seasoning_months,('Control Panel'!$B$10-'Loan Tape (S&amp;P)'!F85)*12,
            threshold_months,VLOOKUP('Control Panel'!$B$6,'Jurisdiction Parameters'!$A:$F,6,FALSE),
            num_borr,'Loan Tape (S&amp;P)'!T85,
            balance,'Loan Tape (S&amp;P)'!B85,
            borr1_inc,'Loan Tape (S&amp;P)'!R85,
            borr2_inc,'Loan Tape (S&amp;P)'!S85,
            total_inc,'Loan Tape (S&amp;P)'!U85,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5" s="21">
        <f>IFERROR(
        IF('Loan Tape (S&amp;P)'!L85="BTL",
            LET(
                rental,'Loan Tape (S&amp;P)'!AV85,
                balance,'Loan Tape (S&amp;P)'!B85,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5" s="21">
        <f>IFERROR(
        IF('Loan Tape (S&amp;P)'!AS85="First",
            INDEX('FF Adj Parameters'!$B$20:$B$22,1),
            IF('Loan Tape (S&amp;P)'!AS85="Second",
                INDEX('FF Adj Parameters'!$B$20:$B$22,2),
                INDEX('FF Adj Parameters'!$B$20:$B$22,3)
            )
        ),
    1)</f>
        <v/>
      </c>
      <c r="K85" s="21">
        <f>IFERROR(
        IF('Loan Tape (S&amp;P)'!AS85&lt;&gt;"First",1.00,
            IF('Loan Tape (S&amp;P)'!M85="Cash-out",
                INDEX('FF Adj Parameters'!$B$26:$B$28,3),
            1.00)
        ),
    1)</f>
        <v/>
      </c>
      <c r="L85" s="21">
        <f>IFERROR(
        LET(
            arr_months,'Loan Tape (S&amp;P)'!AK85,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5" s="21">
        <f>IFERROR(
        IF('Loan Tape (S&amp;P)'!AK85=0,
            LET(
                years,('Control Panel'!$B$10-'Loan Tape (S&amp;P)'!F85)/365.25,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5" s="21">
        <f>IFERROR(
        LET(
            is_btl,'Loan Tape (S&amp;P)'!L85="BTL",
            is_htb,'Loan Tape (S&amp;P)'!Q85="Yes",
            is_ftb,'Loan Tape (S&amp;P)'!AP85="Yes",
            seasoning_months,('Control Panel'!$B$10-'Loan Tape (S&amp;P)'!F85)*12,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5" s="21">
        <f>IF('Loan Tape (S&amp;P)'!Q85="Yes",
        INDEX('FF Adj Parameters'!$B$42:$B$47,2),
    1.00)</f>
        <v/>
      </c>
      <c r="P85" s="21">
        <f>IF('Loan Tape (S&amp;P)'!P85="Yes",
        INDEX('FF Adj Parameters'!$B$42:$B$47,3),
    1.00)</f>
        <v/>
      </c>
      <c r="Q85" s="21">
        <f>IF('Loan Tape (S&amp;P)'!O85="Yes",
        INDEX('FF Adj Parameters'!$B$42:$B$47,4),
    1.00)</f>
        <v/>
      </c>
      <c r="R85" s="21">
        <f>IFERROR(
        LET(
            is_btl,'Loan Tape (S&amp;P)'!L85="BTL",
            is_self_cert,'Loan Tape (S&amp;P)'!AO85="Yes",
            is_performing,'Loan Tape (S&amp;P)'!AK85=0,
            IF(OR(is_btl,NOT(is_self_cert)),1.00,
                IF(is_performing,
                    LET(
                        months,('Control Panel'!$B$10-'Loan Tape (S&amp;P)'!F85)*12,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5" s="21">
        <f>IF('Loan Tape (S&amp;P)'!Q85="Yes",1.00,
        IF('Loan Tape (S&amp;P)'!AQ85="Yes",
            INDEX('FF Adj Parameters'!$B$42:$B$47,5),
        1.00))</f>
        <v/>
      </c>
      <c r="T85" s="21">
        <f>IFERROR(
        IF('Loan Tape (S&amp;P)'!N85&lt;&gt;"Interest Only",1.00,
            IF('Loan Tape (S&amp;P)'!L85="BTL",1.00,
                LET(
                    years_to_mat,('Loan Tape (S&amp;P)'!G85-'Control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5" s="21">
        <f>IF('Loan Tape (S&amp;P)'!L85="BTL",1.00,
        IF('Loan Tape (S&amp;P)'!X85="Yes",
            INDEX('FF Adj Parameters'!$B$58:$B$58,1),
        1.00))</f>
        <v/>
      </c>
      <c r="V85" s="21">
        <f>IF('Loan Tape (S&amp;P)'!AU85="Yes",
        INDEX('FF Adj Parameters'!$B$42:$B$47,6),
    1.00)</f>
        <v/>
      </c>
      <c r="W85" s="23">
        <f>IFERROR(
        LET(
            ccj_count,'Loan Tape (S&amp;P)'!AD85,
            ccj_value,'Loan Tape (S&amp;P)'!AG85,
            ccj_date,'Loan Tape (S&amp;P)'!AH85,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5" s="21">
        <f>1.00</f>
        <v/>
      </c>
      <c r="Y85" s="21">
        <f>IFERROR(
        IF('Loan Tape (S&amp;P)'!AR85="Yes",
            LET(
                months_since,('Control Panel'!$B$10-'Loan Tape (S&amp;P)'!AS85)/30.44,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IFERROR(
        LET(
            is_btl,'Loan Tape (S&amp;P)'!L86="BTL",
            seasoning_months,('Control Panel'!$B$10-'Loan Tape (S&amp;P)'!F86)*12,
            threshold_months,VLOOKUP('Control Panel'!$B$6,'Jurisdiction Parameters'!$A:$F,6,FALSE),
            num_borr,'Loan Tape (S&amp;P)'!T86,
            balance,'Loan Tape (S&amp;P)'!B86,
            borr1_inc,'Loan Tape (S&amp;P)'!R86,
            borr2_inc,'Loan Tape (S&amp;P)'!S86,
            total_inc,'Loan Tape (S&amp;P)'!U86,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6" s="21">
        <f>IFERROR(
        IF('Loan Tape (S&amp;P)'!L86="BTL",
            LET(
                rental,'Loan Tape (S&amp;P)'!AV86,
                balance,'Loan Tape (S&amp;P)'!B86,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6" s="21">
        <f>IFERROR(
        IF('Loan Tape (S&amp;P)'!AS86="First",
            INDEX('FF Adj Parameters'!$B$20:$B$22,1),
            IF('Loan Tape (S&amp;P)'!AS86="Second",
                INDEX('FF Adj Parameters'!$B$20:$B$22,2),
                INDEX('FF Adj Parameters'!$B$20:$B$22,3)
            )
        ),
    1)</f>
        <v/>
      </c>
      <c r="K86" s="21">
        <f>IFERROR(
        IF('Loan Tape (S&amp;P)'!AS86&lt;&gt;"First",1.00,
            IF('Loan Tape (S&amp;P)'!M86="Cash-out",
                INDEX('FF Adj Parameters'!$B$26:$B$28,3),
            1.00)
        ),
    1)</f>
        <v/>
      </c>
      <c r="L86" s="21">
        <f>IFERROR(
        LET(
            arr_months,'Loan Tape (S&amp;P)'!AK86,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6" s="21">
        <f>IFERROR(
        IF('Loan Tape (S&amp;P)'!AK86=0,
            LET(
                years,('Control Panel'!$B$10-'Loan Tape (S&amp;P)'!F86)/365.25,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6" s="21">
        <f>IFERROR(
        LET(
            is_btl,'Loan Tape (S&amp;P)'!L86="BTL",
            is_htb,'Loan Tape (S&amp;P)'!Q86="Yes",
            is_ftb,'Loan Tape (S&amp;P)'!AP86="Yes",
            seasoning_months,('Control Panel'!$B$10-'Loan Tape (S&amp;P)'!F86)*12,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6" s="21">
        <f>IF('Loan Tape (S&amp;P)'!Q86="Yes",
        INDEX('FF Adj Parameters'!$B$42:$B$47,2),
    1.00)</f>
        <v/>
      </c>
      <c r="P86" s="21">
        <f>IF('Loan Tape (S&amp;P)'!P86="Yes",
        INDEX('FF Adj Parameters'!$B$42:$B$47,3),
    1.00)</f>
        <v/>
      </c>
      <c r="Q86" s="21">
        <f>IF('Loan Tape (S&amp;P)'!O86="Yes",
        INDEX('FF Adj Parameters'!$B$42:$B$47,4),
    1.00)</f>
        <v/>
      </c>
      <c r="R86" s="21">
        <f>IFERROR(
        LET(
            is_btl,'Loan Tape (S&amp;P)'!L86="BTL",
            is_self_cert,'Loan Tape (S&amp;P)'!AO86="Yes",
            is_performing,'Loan Tape (S&amp;P)'!AK86=0,
            IF(OR(is_btl,NOT(is_self_cert)),1.00,
                IF(is_performing,
                    LET(
                        months,('Control Panel'!$B$10-'Loan Tape (S&amp;P)'!F86)*12,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6" s="21">
        <f>IF('Loan Tape (S&amp;P)'!Q86="Yes",1.00,
        IF('Loan Tape (S&amp;P)'!AQ86="Yes",
            INDEX('FF Adj Parameters'!$B$42:$B$47,5),
        1.00))</f>
        <v/>
      </c>
      <c r="T86" s="21">
        <f>IFERROR(
        IF('Loan Tape (S&amp;P)'!N86&lt;&gt;"Interest Only",1.00,
            IF('Loan Tape (S&amp;P)'!L86="BTL",1.00,
                LET(
                    years_to_mat,('Loan Tape (S&amp;P)'!G86-'Control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6" s="21">
        <f>IF('Loan Tape (S&amp;P)'!L86="BTL",1.00,
        IF('Loan Tape (S&amp;P)'!X86="Yes",
            INDEX('FF Adj Parameters'!$B$58:$B$58,1),
        1.00))</f>
        <v/>
      </c>
      <c r="V86" s="21">
        <f>IF('Loan Tape (S&amp;P)'!AU86="Yes",
        INDEX('FF Adj Parameters'!$B$42:$B$47,6),
    1.00)</f>
        <v/>
      </c>
      <c r="W86" s="23">
        <f>IFERROR(
        LET(
            ccj_count,'Loan Tape (S&amp;P)'!AD86,
            ccj_value,'Loan Tape (S&amp;P)'!AG86,
            ccj_date,'Loan Tape (S&amp;P)'!AH86,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6" s="21">
        <f>1.00</f>
        <v/>
      </c>
      <c r="Y86" s="21">
        <f>IFERROR(
        IF('Loan Tape (S&amp;P)'!AR86="Yes",
            LET(
                months_since,('Control Panel'!$B$10-'Loan Tape (S&amp;P)'!AS86)/30.44,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IFERROR(
        LET(
            is_btl,'Loan Tape (S&amp;P)'!L87="BTL",
            seasoning_months,('Control Panel'!$B$10-'Loan Tape (S&amp;P)'!F87)*12,
            threshold_months,VLOOKUP('Control Panel'!$B$6,'Jurisdiction Parameters'!$A:$F,6,FALSE),
            num_borr,'Loan Tape (S&amp;P)'!T87,
            balance,'Loan Tape (S&amp;P)'!B87,
            borr1_inc,'Loan Tape (S&amp;P)'!R87,
            borr2_inc,'Loan Tape (S&amp;P)'!S87,
            total_inc,'Loan Tape (S&amp;P)'!U87,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7" s="21">
        <f>IFERROR(
        IF('Loan Tape (S&amp;P)'!L87="BTL",
            LET(
                rental,'Loan Tape (S&amp;P)'!AV87,
                balance,'Loan Tape (S&amp;P)'!B87,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7" s="21">
        <f>IFERROR(
        IF('Loan Tape (S&amp;P)'!AS87="First",
            INDEX('FF Adj Parameters'!$B$20:$B$22,1),
            IF('Loan Tape (S&amp;P)'!AS87="Second",
                INDEX('FF Adj Parameters'!$B$20:$B$22,2),
                INDEX('FF Adj Parameters'!$B$20:$B$22,3)
            )
        ),
    1)</f>
        <v/>
      </c>
      <c r="K87" s="21">
        <f>IFERROR(
        IF('Loan Tape (S&amp;P)'!AS87&lt;&gt;"First",1.00,
            IF('Loan Tape (S&amp;P)'!M87="Cash-out",
                INDEX('FF Adj Parameters'!$B$26:$B$28,3),
            1.00)
        ),
    1)</f>
        <v/>
      </c>
      <c r="L87" s="21">
        <f>IFERROR(
        LET(
            arr_months,'Loan Tape (S&amp;P)'!AK87,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7" s="21">
        <f>IFERROR(
        IF('Loan Tape (S&amp;P)'!AK87=0,
            LET(
                years,('Control Panel'!$B$10-'Loan Tape (S&amp;P)'!F87)/365.25,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7" s="21">
        <f>IFERROR(
        LET(
            is_btl,'Loan Tape (S&amp;P)'!L87="BTL",
            is_htb,'Loan Tape (S&amp;P)'!Q87="Yes",
            is_ftb,'Loan Tape (S&amp;P)'!AP87="Yes",
            seasoning_months,('Control Panel'!$B$10-'Loan Tape (S&amp;P)'!F87)*12,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7" s="21">
        <f>IF('Loan Tape (S&amp;P)'!Q87="Yes",
        INDEX('FF Adj Parameters'!$B$42:$B$47,2),
    1.00)</f>
        <v/>
      </c>
      <c r="P87" s="21">
        <f>IF('Loan Tape (S&amp;P)'!P87="Yes",
        INDEX('FF Adj Parameters'!$B$42:$B$47,3),
    1.00)</f>
        <v/>
      </c>
      <c r="Q87" s="21">
        <f>IF('Loan Tape (S&amp;P)'!O87="Yes",
        INDEX('FF Adj Parameters'!$B$42:$B$47,4),
    1.00)</f>
        <v/>
      </c>
      <c r="R87" s="21">
        <f>IFERROR(
        LET(
            is_btl,'Loan Tape (S&amp;P)'!L87="BTL",
            is_self_cert,'Loan Tape (S&amp;P)'!AO87="Yes",
            is_performing,'Loan Tape (S&amp;P)'!AK87=0,
            IF(OR(is_btl,NOT(is_self_cert)),1.00,
                IF(is_performing,
                    LET(
                        months,('Control Panel'!$B$10-'Loan Tape (S&amp;P)'!F87)*12,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7" s="21">
        <f>IF('Loan Tape (S&amp;P)'!Q87="Yes",1.00,
        IF('Loan Tape (S&amp;P)'!AQ87="Yes",
            INDEX('FF Adj Parameters'!$B$42:$B$47,5),
        1.00))</f>
        <v/>
      </c>
      <c r="T87" s="21">
        <f>IFERROR(
        IF('Loan Tape (S&amp;P)'!N87&lt;&gt;"Interest Only",1.00,
            IF('Loan Tape (S&amp;P)'!L87="BTL",1.00,
                LET(
                    years_to_mat,('Loan Tape (S&amp;P)'!G87-'Control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7" s="21">
        <f>IF('Loan Tape (S&amp;P)'!L87="BTL",1.00,
        IF('Loan Tape (S&amp;P)'!X87="Yes",
            INDEX('FF Adj Parameters'!$B$58:$B$58,1),
        1.00))</f>
        <v/>
      </c>
      <c r="V87" s="21">
        <f>IF('Loan Tape (S&amp;P)'!AU87="Yes",
        INDEX('FF Adj Parameters'!$B$42:$B$47,6),
    1.00)</f>
        <v/>
      </c>
      <c r="W87" s="23">
        <f>IFERROR(
        LET(
            ccj_count,'Loan Tape (S&amp;P)'!AD87,
            ccj_value,'Loan Tape (S&amp;P)'!AG87,
            ccj_date,'Loan Tape (S&amp;P)'!AH87,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7" s="21">
        <f>1.00</f>
        <v/>
      </c>
      <c r="Y87" s="21">
        <f>IFERROR(
        IF('Loan Tape (S&amp;P)'!AR87="Yes",
            LET(
                months_since,('Control Panel'!$B$10-'Loan Tape (S&amp;P)'!AS87)/30.44,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IFERROR(
        LET(
            is_btl,'Loan Tape (S&amp;P)'!L88="BTL",
            seasoning_months,('Control Panel'!$B$10-'Loan Tape (S&amp;P)'!F88)*12,
            threshold_months,VLOOKUP('Control Panel'!$B$6,'Jurisdiction Parameters'!$A:$F,6,FALSE),
            num_borr,'Loan Tape (S&amp;P)'!T88,
            balance,'Loan Tape (S&amp;P)'!B88,
            borr1_inc,'Loan Tape (S&amp;P)'!R88,
            borr2_inc,'Loan Tape (S&amp;P)'!S88,
            total_inc,'Loan Tape (S&amp;P)'!U88,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8" s="21">
        <f>IFERROR(
        IF('Loan Tape (S&amp;P)'!L88="BTL",
            LET(
                rental,'Loan Tape (S&amp;P)'!AV88,
                balance,'Loan Tape (S&amp;P)'!B88,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8" s="21">
        <f>IFERROR(
        IF('Loan Tape (S&amp;P)'!AS88="First",
            INDEX('FF Adj Parameters'!$B$20:$B$22,1),
            IF('Loan Tape (S&amp;P)'!AS88="Second",
                INDEX('FF Adj Parameters'!$B$20:$B$22,2),
                INDEX('FF Adj Parameters'!$B$20:$B$22,3)
            )
        ),
    1)</f>
        <v/>
      </c>
      <c r="K88" s="21">
        <f>IFERROR(
        IF('Loan Tape (S&amp;P)'!AS88&lt;&gt;"First",1.00,
            IF('Loan Tape (S&amp;P)'!M88="Cash-out",
                INDEX('FF Adj Parameters'!$B$26:$B$28,3),
            1.00)
        ),
    1)</f>
        <v/>
      </c>
      <c r="L88" s="21">
        <f>IFERROR(
        LET(
            arr_months,'Loan Tape (S&amp;P)'!AK88,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8" s="21">
        <f>IFERROR(
        IF('Loan Tape (S&amp;P)'!AK88=0,
            LET(
                years,('Control Panel'!$B$10-'Loan Tape (S&amp;P)'!F88)/365.25,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8" s="21">
        <f>IFERROR(
        LET(
            is_btl,'Loan Tape (S&amp;P)'!L88="BTL",
            is_htb,'Loan Tape (S&amp;P)'!Q88="Yes",
            is_ftb,'Loan Tape (S&amp;P)'!AP88="Yes",
            seasoning_months,('Control Panel'!$B$10-'Loan Tape (S&amp;P)'!F88)*12,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8" s="21">
        <f>IF('Loan Tape (S&amp;P)'!Q88="Yes",
        INDEX('FF Adj Parameters'!$B$42:$B$47,2),
    1.00)</f>
        <v/>
      </c>
      <c r="P88" s="21">
        <f>IF('Loan Tape (S&amp;P)'!P88="Yes",
        INDEX('FF Adj Parameters'!$B$42:$B$47,3),
    1.00)</f>
        <v/>
      </c>
      <c r="Q88" s="21">
        <f>IF('Loan Tape (S&amp;P)'!O88="Yes",
        INDEX('FF Adj Parameters'!$B$42:$B$47,4),
    1.00)</f>
        <v/>
      </c>
      <c r="R88" s="21">
        <f>IFERROR(
        LET(
            is_btl,'Loan Tape (S&amp;P)'!L88="BTL",
            is_self_cert,'Loan Tape (S&amp;P)'!AO88="Yes",
            is_performing,'Loan Tape (S&amp;P)'!AK88=0,
            IF(OR(is_btl,NOT(is_self_cert)),1.00,
                IF(is_performing,
                    LET(
                        months,('Control Panel'!$B$10-'Loan Tape (S&amp;P)'!F88)*12,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8" s="21">
        <f>IF('Loan Tape (S&amp;P)'!Q88="Yes",1.00,
        IF('Loan Tape (S&amp;P)'!AQ88="Yes",
            INDEX('FF Adj Parameters'!$B$42:$B$47,5),
        1.00))</f>
        <v/>
      </c>
      <c r="T88" s="21">
        <f>IFERROR(
        IF('Loan Tape (S&amp;P)'!N88&lt;&gt;"Interest Only",1.00,
            IF('Loan Tape (S&amp;P)'!L88="BTL",1.00,
                LET(
                    years_to_mat,('Loan Tape (S&amp;P)'!G88-'Control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8" s="21">
        <f>IF('Loan Tape (S&amp;P)'!L88="BTL",1.00,
        IF('Loan Tape (S&amp;P)'!X88="Yes",
            INDEX('FF Adj Parameters'!$B$58:$B$58,1),
        1.00))</f>
        <v/>
      </c>
      <c r="V88" s="21">
        <f>IF('Loan Tape (S&amp;P)'!AU88="Yes",
        INDEX('FF Adj Parameters'!$B$42:$B$47,6),
    1.00)</f>
        <v/>
      </c>
      <c r="W88" s="23">
        <f>IFERROR(
        LET(
            ccj_count,'Loan Tape (S&amp;P)'!AD88,
            ccj_value,'Loan Tape (S&amp;P)'!AG88,
            ccj_date,'Loan Tape (S&amp;P)'!AH88,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8" s="21">
        <f>1.00</f>
        <v/>
      </c>
      <c r="Y88" s="21">
        <f>IFERROR(
        IF('Loan Tape (S&amp;P)'!AR88="Yes",
            LET(
                months_since,('Control Panel'!$B$10-'Loan Tape (S&amp;P)'!AS88)/30.44,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IFERROR(
        LET(
            is_btl,'Loan Tape (S&amp;P)'!L89="BTL",
            seasoning_months,('Control Panel'!$B$10-'Loan Tape (S&amp;P)'!F89)*12,
            threshold_months,VLOOKUP('Control Panel'!$B$6,'Jurisdiction Parameters'!$A:$F,6,FALSE),
            num_borr,'Loan Tape (S&amp;P)'!T89,
            balance,'Loan Tape (S&amp;P)'!B89,
            borr1_inc,'Loan Tape (S&amp;P)'!R89,
            borr2_inc,'Loan Tape (S&amp;P)'!S89,
            total_inc,'Loan Tape (S&amp;P)'!U89,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89" s="21">
        <f>IFERROR(
        IF('Loan Tape (S&amp;P)'!L89="BTL",
            LET(
                rental,'Loan Tape (S&amp;P)'!AV89,
                balance,'Loan Tape (S&amp;P)'!B89,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89" s="21">
        <f>IFERROR(
        IF('Loan Tape (S&amp;P)'!AS89="First",
            INDEX('FF Adj Parameters'!$B$20:$B$22,1),
            IF('Loan Tape (S&amp;P)'!AS89="Second",
                INDEX('FF Adj Parameters'!$B$20:$B$22,2),
                INDEX('FF Adj Parameters'!$B$20:$B$22,3)
            )
        ),
    1)</f>
        <v/>
      </c>
      <c r="K89" s="21">
        <f>IFERROR(
        IF('Loan Tape (S&amp;P)'!AS89&lt;&gt;"First",1.00,
            IF('Loan Tape (S&amp;P)'!M89="Cash-out",
                INDEX('FF Adj Parameters'!$B$26:$B$28,3),
            1.00)
        ),
    1)</f>
        <v/>
      </c>
      <c r="L89" s="21">
        <f>IFERROR(
        LET(
            arr_months,'Loan Tape (S&amp;P)'!AK89,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89" s="21">
        <f>IFERROR(
        IF('Loan Tape (S&amp;P)'!AK89=0,
            LET(
                years,('Control Panel'!$B$10-'Loan Tape (S&amp;P)'!F89)/365.25,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89" s="21">
        <f>IFERROR(
        LET(
            is_btl,'Loan Tape (S&amp;P)'!L89="BTL",
            is_htb,'Loan Tape (S&amp;P)'!Q89="Yes",
            is_ftb,'Loan Tape (S&amp;P)'!AP89="Yes",
            seasoning_months,('Control Panel'!$B$10-'Loan Tape (S&amp;P)'!F89)*12,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89" s="21">
        <f>IF('Loan Tape (S&amp;P)'!Q89="Yes",
        INDEX('FF Adj Parameters'!$B$42:$B$47,2),
    1.00)</f>
        <v/>
      </c>
      <c r="P89" s="21">
        <f>IF('Loan Tape (S&amp;P)'!P89="Yes",
        INDEX('FF Adj Parameters'!$B$42:$B$47,3),
    1.00)</f>
        <v/>
      </c>
      <c r="Q89" s="21">
        <f>IF('Loan Tape (S&amp;P)'!O89="Yes",
        INDEX('FF Adj Parameters'!$B$42:$B$47,4),
    1.00)</f>
        <v/>
      </c>
      <c r="R89" s="21">
        <f>IFERROR(
        LET(
            is_btl,'Loan Tape (S&amp;P)'!L89="BTL",
            is_self_cert,'Loan Tape (S&amp;P)'!AO89="Yes",
            is_performing,'Loan Tape (S&amp;P)'!AK89=0,
            IF(OR(is_btl,NOT(is_self_cert)),1.00,
                IF(is_performing,
                    LET(
                        months,('Control Panel'!$B$10-'Loan Tape (S&amp;P)'!F89)*12,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89" s="21">
        <f>IF('Loan Tape (S&amp;P)'!Q89="Yes",1.00,
        IF('Loan Tape (S&amp;P)'!AQ89="Yes",
            INDEX('FF Adj Parameters'!$B$42:$B$47,5),
        1.00))</f>
        <v/>
      </c>
      <c r="T89" s="21">
        <f>IFERROR(
        IF('Loan Tape (S&amp;P)'!N89&lt;&gt;"Interest Only",1.00,
            IF('Loan Tape (S&amp;P)'!L89="BTL",1.00,
                LET(
                    years_to_mat,('Loan Tape (S&amp;P)'!G89-'Control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89" s="21">
        <f>IF('Loan Tape (S&amp;P)'!L89="BTL",1.00,
        IF('Loan Tape (S&amp;P)'!X89="Yes",
            INDEX('FF Adj Parameters'!$B$58:$B$58,1),
        1.00))</f>
        <v/>
      </c>
      <c r="V89" s="21">
        <f>IF('Loan Tape (S&amp;P)'!AU89="Yes",
        INDEX('FF Adj Parameters'!$B$42:$B$47,6),
    1.00)</f>
        <v/>
      </c>
      <c r="W89" s="23">
        <f>IFERROR(
        LET(
            ccj_count,'Loan Tape (S&amp;P)'!AD89,
            ccj_value,'Loan Tape (S&amp;P)'!AG89,
            ccj_date,'Loan Tape (S&amp;P)'!AH89,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89" s="21">
        <f>1.00</f>
        <v/>
      </c>
      <c r="Y89" s="21">
        <f>IFERROR(
        IF('Loan Tape (S&amp;P)'!AR89="Yes",
            LET(
                months_since,('Control Panel'!$B$10-'Loan Tape (S&amp;P)'!AS89)/30.44,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IFERROR(
        LET(
            is_btl,'Loan Tape (S&amp;P)'!L90="BTL",
            seasoning_months,('Control Panel'!$B$10-'Loan Tape (S&amp;P)'!F90)*12,
            threshold_months,VLOOKUP('Control Panel'!$B$6,'Jurisdiction Parameters'!$A:$F,6,FALSE),
            num_borr,'Loan Tape (S&amp;P)'!T90,
            balance,'Loan Tape (S&amp;P)'!B90,
            borr1_inc,'Loan Tape (S&amp;P)'!R90,
            borr2_inc,'Loan Tape (S&amp;P)'!S90,
            total_inc,'Loan Tape (S&amp;P)'!U90,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0" s="21">
        <f>IFERROR(
        IF('Loan Tape (S&amp;P)'!L90="BTL",
            LET(
                rental,'Loan Tape (S&amp;P)'!AV90,
                balance,'Loan Tape (S&amp;P)'!B90,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0" s="21">
        <f>IFERROR(
        IF('Loan Tape (S&amp;P)'!AS90="First",
            INDEX('FF Adj Parameters'!$B$20:$B$22,1),
            IF('Loan Tape (S&amp;P)'!AS90="Second",
                INDEX('FF Adj Parameters'!$B$20:$B$22,2),
                INDEX('FF Adj Parameters'!$B$20:$B$22,3)
            )
        ),
    1)</f>
        <v/>
      </c>
      <c r="K90" s="21">
        <f>IFERROR(
        IF('Loan Tape (S&amp;P)'!AS90&lt;&gt;"First",1.00,
            IF('Loan Tape (S&amp;P)'!M90="Cash-out",
                INDEX('FF Adj Parameters'!$B$26:$B$28,3),
            1.00)
        ),
    1)</f>
        <v/>
      </c>
      <c r="L90" s="21">
        <f>IFERROR(
        LET(
            arr_months,'Loan Tape (S&amp;P)'!AK90,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0" s="21">
        <f>IFERROR(
        IF('Loan Tape (S&amp;P)'!AK90=0,
            LET(
                years,('Control Panel'!$B$10-'Loan Tape (S&amp;P)'!F90)/365.25,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0" s="21">
        <f>IFERROR(
        LET(
            is_btl,'Loan Tape (S&amp;P)'!L90="BTL",
            is_htb,'Loan Tape (S&amp;P)'!Q90="Yes",
            is_ftb,'Loan Tape (S&amp;P)'!AP90="Yes",
            seasoning_months,('Control Panel'!$B$10-'Loan Tape (S&amp;P)'!F90)*12,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0" s="21">
        <f>IF('Loan Tape (S&amp;P)'!Q90="Yes",
        INDEX('FF Adj Parameters'!$B$42:$B$47,2),
    1.00)</f>
        <v/>
      </c>
      <c r="P90" s="21">
        <f>IF('Loan Tape (S&amp;P)'!P90="Yes",
        INDEX('FF Adj Parameters'!$B$42:$B$47,3),
    1.00)</f>
        <v/>
      </c>
      <c r="Q90" s="21">
        <f>IF('Loan Tape (S&amp;P)'!O90="Yes",
        INDEX('FF Adj Parameters'!$B$42:$B$47,4),
    1.00)</f>
        <v/>
      </c>
      <c r="R90" s="21">
        <f>IFERROR(
        LET(
            is_btl,'Loan Tape (S&amp;P)'!L90="BTL",
            is_self_cert,'Loan Tape (S&amp;P)'!AO90="Yes",
            is_performing,'Loan Tape (S&amp;P)'!AK90=0,
            IF(OR(is_btl,NOT(is_self_cert)),1.00,
                IF(is_performing,
                    LET(
                        months,('Control Panel'!$B$10-'Loan Tape (S&amp;P)'!F90)*12,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0" s="21">
        <f>IF('Loan Tape (S&amp;P)'!Q90="Yes",1.00,
        IF('Loan Tape (S&amp;P)'!AQ90="Yes",
            INDEX('FF Adj Parameters'!$B$42:$B$47,5),
        1.00))</f>
        <v/>
      </c>
      <c r="T90" s="21">
        <f>IFERROR(
        IF('Loan Tape (S&amp;P)'!N90&lt;&gt;"Interest Only",1.00,
            IF('Loan Tape (S&amp;P)'!L90="BTL",1.00,
                LET(
                    years_to_mat,('Loan Tape (S&amp;P)'!G90-'Control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0" s="21">
        <f>IF('Loan Tape (S&amp;P)'!L90="BTL",1.00,
        IF('Loan Tape (S&amp;P)'!X90="Yes",
            INDEX('FF Adj Parameters'!$B$58:$B$58,1),
        1.00))</f>
        <v/>
      </c>
      <c r="V90" s="21">
        <f>IF('Loan Tape (S&amp;P)'!AU90="Yes",
        INDEX('FF Adj Parameters'!$B$42:$B$47,6),
    1.00)</f>
        <v/>
      </c>
      <c r="W90" s="23">
        <f>IFERROR(
        LET(
            ccj_count,'Loan Tape (S&amp;P)'!AD90,
            ccj_value,'Loan Tape (S&amp;P)'!AG90,
            ccj_date,'Loan Tape (S&amp;P)'!AH90,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0" s="21">
        <f>1.00</f>
        <v/>
      </c>
      <c r="Y90" s="21">
        <f>IFERROR(
        IF('Loan Tape (S&amp;P)'!AR90="Yes",
            LET(
                months_since,('Control Panel'!$B$10-'Loan Tape (S&amp;P)'!AS90)/30.44,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IFERROR(
        LET(
            is_btl,'Loan Tape (S&amp;P)'!L91="BTL",
            seasoning_months,('Control Panel'!$B$10-'Loan Tape (S&amp;P)'!F91)*12,
            threshold_months,VLOOKUP('Control Panel'!$B$6,'Jurisdiction Parameters'!$A:$F,6,FALSE),
            num_borr,'Loan Tape (S&amp;P)'!T91,
            balance,'Loan Tape (S&amp;P)'!B91,
            borr1_inc,'Loan Tape (S&amp;P)'!R91,
            borr2_inc,'Loan Tape (S&amp;P)'!S91,
            total_inc,'Loan Tape (S&amp;P)'!U91,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1" s="21">
        <f>IFERROR(
        IF('Loan Tape (S&amp;P)'!L91="BTL",
            LET(
                rental,'Loan Tape (S&amp;P)'!AV91,
                balance,'Loan Tape (S&amp;P)'!B91,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1" s="21">
        <f>IFERROR(
        IF('Loan Tape (S&amp;P)'!AS91="First",
            INDEX('FF Adj Parameters'!$B$20:$B$22,1),
            IF('Loan Tape (S&amp;P)'!AS91="Second",
                INDEX('FF Adj Parameters'!$B$20:$B$22,2),
                INDEX('FF Adj Parameters'!$B$20:$B$22,3)
            )
        ),
    1)</f>
        <v/>
      </c>
      <c r="K91" s="21">
        <f>IFERROR(
        IF('Loan Tape (S&amp;P)'!AS91&lt;&gt;"First",1.00,
            IF('Loan Tape (S&amp;P)'!M91="Cash-out",
                INDEX('FF Adj Parameters'!$B$26:$B$28,3),
            1.00)
        ),
    1)</f>
        <v/>
      </c>
      <c r="L91" s="21">
        <f>IFERROR(
        LET(
            arr_months,'Loan Tape (S&amp;P)'!AK91,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1" s="21">
        <f>IFERROR(
        IF('Loan Tape (S&amp;P)'!AK91=0,
            LET(
                years,('Control Panel'!$B$10-'Loan Tape (S&amp;P)'!F91)/365.25,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1" s="21">
        <f>IFERROR(
        LET(
            is_btl,'Loan Tape (S&amp;P)'!L91="BTL",
            is_htb,'Loan Tape (S&amp;P)'!Q91="Yes",
            is_ftb,'Loan Tape (S&amp;P)'!AP91="Yes",
            seasoning_months,('Control Panel'!$B$10-'Loan Tape (S&amp;P)'!F91)*12,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1" s="21">
        <f>IF('Loan Tape (S&amp;P)'!Q91="Yes",
        INDEX('FF Adj Parameters'!$B$42:$B$47,2),
    1.00)</f>
        <v/>
      </c>
      <c r="P91" s="21">
        <f>IF('Loan Tape (S&amp;P)'!P91="Yes",
        INDEX('FF Adj Parameters'!$B$42:$B$47,3),
    1.00)</f>
        <v/>
      </c>
      <c r="Q91" s="21">
        <f>IF('Loan Tape (S&amp;P)'!O91="Yes",
        INDEX('FF Adj Parameters'!$B$42:$B$47,4),
    1.00)</f>
        <v/>
      </c>
      <c r="R91" s="21">
        <f>IFERROR(
        LET(
            is_btl,'Loan Tape (S&amp;P)'!L91="BTL",
            is_self_cert,'Loan Tape (S&amp;P)'!AO91="Yes",
            is_performing,'Loan Tape (S&amp;P)'!AK91=0,
            IF(OR(is_btl,NOT(is_self_cert)),1.00,
                IF(is_performing,
                    LET(
                        months,('Control Panel'!$B$10-'Loan Tape (S&amp;P)'!F91)*12,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1" s="21">
        <f>IF('Loan Tape (S&amp;P)'!Q91="Yes",1.00,
        IF('Loan Tape (S&amp;P)'!AQ91="Yes",
            INDEX('FF Adj Parameters'!$B$42:$B$47,5),
        1.00))</f>
        <v/>
      </c>
      <c r="T91" s="21">
        <f>IFERROR(
        IF('Loan Tape (S&amp;P)'!N91&lt;&gt;"Interest Only",1.00,
            IF('Loan Tape (S&amp;P)'!L91="BTL",1.00,
                LET(
                    years_to_mat,('Loan Tape (S&amp;P)'!G91-'Control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1" s="21">
        <f>IF('Loan Tape (S&amp;P)'!L91="BTL",1.00,
        IF('Loan Tape (S&amp;P)'!X91="Yes",
            INDEX('FF Adj Parameters'!$B$58:$B$58,1),
        1.00))</f>
        <v/>
      </c>
      <c r="V91" s="21">
        <f>IF('Loan Tape (S&amp;P)'!AU91="Yes",
        INDEX('FF Adj Parameters'!$B$42:$B$47,6),
    1.00)</f>
        <v/>
      </c>
      <c r="W91" s="23">
        <f>IFERROR(
        LET(
            ccj_count,'Loan Tape (S&amp;P)'!AD91,
            ccj_value,'Loan Tape (S&amp;P)'!AG91,
            ccj_date,'Loan Tape (S&amp;P)'!AH91,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1" s="21">
        <f>1.00</f>
        <v/>
      </c>
      <c r="Y91" s="21">
        <f>IFERROR(
        IF('Loan Tape (S&amp;P)'!AR91="Yes",
            LET(
                months_since,('Control Panel'!$B$10-'Loan Tape (S&amp;P)'!AS91)/30.44,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IFERROR(
        LET(
            is_btl,'Loan Tape (S&amp;P)'!L92="BTL",
            seasoning_months,('Control Panel'!$B$10-'Loan Tape (S&amp;P)'!F92)*12,
            threshold_months,VLOOKUP('Control Panel'!$B$6,'Jurisdiction Parameters'!$A:$F,6,FALSE),
            num_borr,'Loan Tape (S&amp;P)'!T92,
            balance,'Loan Tape (S&amp;P)'!B92,
            borr1_inc,'Loan Tape (S&amp;P)'!R92,
            borr2_inc,'Loan Tape (S&amp;P)'!S92,
            total_inc,'Loan Tape (S&amp;P)'!U92,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2" s="21">
        <f>IFERROR(
        IF('Loan Tape (S&amp;P)'!L92="BTL",
            LET(
                rental,'Loan Tape (S&amp;P)'!AV92,
                balance,'Loan Tape (S&amp;P)'!B92,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2" s="21">
        <f>IFERROR(
        IF('Loan Tape (S&amp;P)'!AS92="First",
            INDEX('FF Adj Parameters'!$B$20:$B$22,1),
            IF('Loan Tape (S&amp;P)'!AS92="Second",
                INDEX('FF Adj Parameters'!$B$20:$B$22,2),
                INDEX('FF Adj Parameters'!$B$20:$B$22,3)
            )
        ),
    1)</f>
        <v/>
      </c>
      <c r="K92" s="21">
        <f>IFERROR(
        IF('Loan Tape (S&amp;P)'!AS92&lt;&gt;"First",1.00,
            IF('Loan Tape (S&amp;P)'!M92="Cash-out",
                INDEX('FF Adj Parameters'!$B$26:$B$28,3),
            1.00)
        ),
    1)</f>
        <v/>
      </c>
      <c r="L92" s="21">
        <f>IFERROR(
        LET(
            arr_months,'Loan Tape (S&amp;P)'!AK92,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2" s="21">
        <f>IFERROR(
        IF('Loan Tape (S&amp;P)'!AK92=0,
            LET(
                years,('Control Panel'!$B$10-'Loan Tape (S&amp;P)'!F92)/365.25,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2" s="21">
        <f>IFERROR(
        LET(
            is_btl,'Loan Tape (S&amp;P)'!L92="BTL",
            is_htb,'Loan Tape (S&amp;P)'!Q92="Yes",
            is_ftb,'Loan Tape (S&amp;P)'!AP92="Yes",
            seasoning_months,('Control Panel'!$B$10-'Loan Tape (S&amp;P)'!F92)*12,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2" s="21">
        <f>IF('Loan Tape (S&amp;P)'!Q92="Yes",
        INDEX('FF Adj Parameters'!$B$42:$B$47,2),
    1.00)</f>
        <v/>
      </c>
      <c r="P92" s="21">
        <f>IF('Loan Tape (S&amp;P)'!P92="Yes",
        INDEX('FF Adj Parameters'!$B$42:$B$47,3),
    1.00)</f>
        <v/>
      </c>
      <c r="Q92" s="21">
        <f>IF('Loan Tape (S&amp;P)'!O92="Yes",
        INDEX('FF Adj Parameters'!$B$42:$B$47,4),
    1.00)</f>
        <v/>
      </c>
      <c r="R92" s="21">
        <f>IFERROR(
        LET(
            is_btl,'Loan Tape (S&amp;P)'!L92="BTL",
            is_self_cert,'Loan Tape (S&amp;P)'!AO92="Yes",
            is_performing,'Loan Tape (S&amp;P)'!AK92=0,
            IF(OR(is_btl,NOT(is_self_cert)),1.00,
                IF(is_performing,
                    LET(
                        months,('Control Panel'!$B$10-'Loan Tape (S&amp;P)'!F92)*12,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2" s="21">
        <f>IF('Loan Tape (S&amp;P)'!Q92="Yes",1.00,
        IF('Loan Tape (S&amp;P)'!AQ92="Yes",
            INDEX('FF Adj Parameters'!$B$42:$B$47,5),
        1.00))</f>
        <v/>
      </c>
      <c r="T92" s="21">
        <f>IFERROR(
        IF('Loan Tape (S&amp;P)'!N92&lt;&gt;"Interest Only",1.00,
            IF('Loan Tape (S&amp;P)'!L92="BTL",1.00,
                LET(
                    years_to_mat,('Loan Tape (S&amp;P)'!G92-'Control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2" s="21">
        <f>IF('Loan Tape (S&amp;P)'!L92="BTL",1.00,
        IF('Loan Tape (S&amp;P)'!X92="Yes",
            INDEX('FF Adj Parameters'!$B$58:$B$58,1),
        1.00))</f>
        <v/>
      </c>
      <c r="V92" s="21">
        <f>IF('Loan Tape (S&amp;P)'!AU92="Yes",
        INDEX('FF Adj Parameters'!$B$42:$B$47,6),
    1.00)</f>
        <v/>
      </c>
      <c r="W92" s="23">
        <f>IFERROR(
        LET(
            ccj_count,'Loan Tape (S&amp;P)'!AD92,
            ccj_value,'Loan Tape (S&amp;P)'!AG92,
            ccj_date,'Loan Tape (S&amp;P)'!AH92,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2" s="21">
        <f>1.00</f>
        <v/>
      </c>
      <c r="Y92" s="21">
        <f>IFERROR(
        IF('Loan Tape (S&amp;P)'!AR92="Yes",
            LET(
                months_since,('Control Panel'!$B$10-'Loan Tape (S&amp;P)'!AS92)/30.44,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IFERROR(
        LET(
            is_btl,'Loan Tape (S&amp;P)'!L93="BTL",
            seasoning_months,('Control Panel'!$B$10-'Loan Tape (S&amp;P)'!F93)*12,
            threshold_months,VLOOKUP('Control Panel'!$B$6,'Jurisdiction Parameters'!$A:$F,6,FALSE),
            num_borr,'Loan Tape (S&amp;P)'!T93,
            balance,'Loan Tape (S&amp;P)'!B93,
            borr1_inc,'Loan Tape (S&amp;P)'!R93,
            borr2_inc,'Loan Tape (S&amp;P)'!S93,
            total_inc,'Loan Tape (S&amp;P)'!U93,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3" s="21">
        <f>IFERROR(
        IF('Loan Tape (S&amp;P)'!L93="BTL",
            LET(
                rental,'Loan Tape (S&amp;P)'!AV93,
                balance,'Loan Tape (S&amp;P)'!B93,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3" s="21">
        <f>IFERROR(
        IF('Loan Tape (S&amp;P)'!AS93="First",
            INDEX('FF Adj Parameters'!$B$20:$B$22,1),
            IF('Loan Tape (S&amp;P)'!AS93="Second",
                INDEX('FF Adj Parameters'!$B$20:$B$22,2),
                INDEX('FF Adj Parameters'!$B$20:$B$22,3)
            )
        ),
    1)</f>
        <v/>
      </c>
      <c r="K93" s="21">
        <f>IFERROR(
        IF('Loan Tape (S&amp;P)'!AS93&lt;&gt;"First",1.00,
            IF('Loan Tape (S&amp;P)'!M93="Cash-out",
                INDEX('FF Adj Parameters'!$B$26:$B$28,3),
            1.00)
        ),
    1)</f>
        <v/>
      </c>
      <c r="L93" s="21">
        <f>IFERROR(
        LET(
            arr_months,'Loan Tape (S&amp;P)'!AK93,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3" s="21">
        <f>IFERROR(
        IF('Loan Tape (S&amp;P)'!AK93=0,
            LET(
                years,('Control Panel'!$B$10-'Loan Tape (S&amp;P)'!F93)/365.25,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3" s="21">
        <f>IFERROR(
        LET(
            is_btl,'Loan Tape (S&amp;P)'!L93="BTL",
            is_htb,'Loan Tape (S&amp;P)'!Q93="Yes",
            is_ftb,'Loan Tape (S&amp;P)'!AP93="Yes",
            seasoning_months,('Control Panel'!$B$10-'Loan Tape (S&amp;P)'!F93)*12,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3" s="21">
        <f>IF('Loan Tape (S&amp;P)'!Q93="Yes",
        INDEX('FF Adj Parameters'!$B$42:$B$47,2),
    1.00)</f>
        <v/>
      </c>
      <c r="P93" s="21">
        <f>IF('Loan Tape (S&amp;P)'!P93="Yes",
        INDEX('FF Adj Parameters'!$B$42:$B$47,3),
    1.00)</f>
        <v/>
      </c>
      <c r="Q93" s="21">
        <f>IF('Loan Tape (S&amp;P)'!O93="Yes",
        INDEX('FF Adj Parameters'!$B$42:$B$47,4),
    1.00)</f>
        <v/>
      </c>
      <c r="R93" s="21">
        <f>IFERROR(
        LET(
            is_btl,'Loan Tape (S&amp;P)'!L93="BTL",
            is_self_cert,'Loan Tape (S&amp;P)'!AO93="Yes",
            is_performing,'Loan Tape (S&amp;P)'!AK93=0,
            IF(OR(is_btl,NOT(is_self_cert)),1.00,
                IF(is_performing,
                    LET(
                        months,('Control Panel'!$B$10-'Loan Tape (S&amp;P)'!F93)*12,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3" s="21">
        <f>IF('Loan Tape (S&amp;P)'!Q93="Yes",1.00,
        IF('Loan Tape (S&amp;P)'!AQ93="Yes",
            INDEX('FF Adj Parameters'!$B$42:$B$47,5),
        1.00))</f>
        <v/>
      </c>
      <c r="T93" s="21">
        <f>IFERROR(
        IF('Loan Tape (S&amp;P)'!N93&lt;&gt;"Interest Only",1.00,
            IF('Loan Tape (S&amp;P)'!L93="BTL",1.00,
                LET(
                    years_to_mat,('Loan Tape (S&amp;P)'!G93-'Control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3" s="21">
        <f>IF('Loan Tape (S&amp;P)'!L93="BTL",1.00,
        IF('Loan Tape (S&amp;P)'!X93="Yes",
            INDEX('FF Adj Parameters'!$B$58:$B$58,1),
        1.00))</f>
        <v/>
      </c>
      <c r="V93" s="21">
        <f>IF('Loan Tape (S&amp;P)'!AU93="Yes",
        INDEX('FF Adj Parameters'!$B$42:$B$47,6),
    1.00)</f>
        <v/>
      </c>
      <c r="W93" s="23">
        <f>IFERROR(
        LET(
            ccj_count,'Loan Tape (S&amp;P)'!AD93,
            ccj_value,'Loan Tape (S&amp;P)'!AG93,
            ccj_date,'Loan Tape (S&amp;P)'!AH93,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3" s="21">
        <f>1.00</f>
        <v/>
      </c>
      <c r="Y93" s="21">
        <f>IFERROR(
        IF('Loan Tape (S&amp;P)'!AR93="Yes",
            LET(
                months_since,('Control Panel'!$B$10-'Loan Tape (S&amp;P)'!AS93)/30.44,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IFERROR(
        LET(
            is_btl,'Loan Tape (S&amp;P)'!L94="BTL",
            seasoning_months,('Control Panel'!$B$10-'Loan Tape (S&amp;P)'!F94)*12,
            threshold_months,VLOOKUP('Control Panel'!$B$6,'Jurisdiction Parameters'!$A:$F,6,FALSE),
            num_borr,'Loan Tape (S&amp;P)'!T94,
            balance,'Loan Tape (S&amp;P)'!B94,
            borr1_inc,'Loan Tape (S&amp;P)'!R94,
            borr2_inc,'Loan Tape (S&amp;P)'!S94,
            total_inc,'Loan Tape (S&amp;P)'!U94,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4" s="21">
        <f>IFERROR(
        IF('Loan Tape (S&amp;P)'!L94="BTL",
            LET(
                rental,'Loan Tape (S&amp;P)'!AV94,
                balance,'Loan Tape (S&amp;P)'!B94,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4" s="21">
        <f>IFERROR(
        IF('Loan Tape (S&amp;P)'!AS94="First",
            INDEX('FF Adj Parameters'!$B$20:$B$22,1),
            IF('Loan Tape (S&amp;P)'!AS94="Second",
                INDEX('FF Adj Parameters'!$B$20:$B$22,2),
                INDEX('FF Adj Parameters'!$B$20:$B$22,3)
            )
        ),
    1)</f>
        <v/>
      </c>
      <c r="K94" s="21">
        <f>IFERROR(
        IF('Loan Tape (S&amp;P)'!AS94&lt;&gt;"First",1.00,
            IF('Loan Tape (S&amp;P)'!M94="Cash-out",
                INDEX('FF Adj Parameters'!$B$26:$B$28,3),
            1.00)
        ),
    1)</f>
        <v/>
      </c>
      <c r="L94" s="21">
        <f>IFERROR(
        LET(
            arr_months,'Loan Tape (S&amp;P)'!AK94,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4" s="21">
        <f>IFERROR(
        IF('Loan Tape (S&amp;P)'!AK94=0,
            LET(
                years,('Control Panel'!$B$10-'Loan Tape (S&amp;P)'!F94)/365.25,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4" s="21">
        <f>IFERROR(
        LET(
            is_btl,'Loan Tape (S&amp;P)'!L94="BTL",
            is_htb,'Loan Tape (S&amp;P)'!Q94="Yes",
            is_ftb,'Loan Tape (S&amp;P)'!AP94="Yes",
            seasoning_months,('Control Panel'!$B$10-'Loan Tape (S&amp;P)'!F94)*12,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4" s="21">
        <f>IF('Loan Tape (S&amp;P)'!Q94="Yes",
        INDEX('FF Adj Parameters'!$B$42:$B$47,2),
    1.00)</f>
        <v/>
      </c>
      <c r="P94" s="21">
        <f>IF('Loan Tape (S&amp;P)'!P94="Yes",
        INDEX('FF Adj Parameters'!$B$42:$B$47,3),
    1.00)</f>
        <v/>
      </c>
      <c r="Q94" s="21">
        <f>IF('Loan Tape (S&amp;P)'!O94="Yes",
        INDEX('FF Adj Parameters'!$B$42:$B$47,4),
    1.00)</f>
        <v/>
      </c>
      <c r="R94" s="21">
        <f>IFERROR(
        LET(
            is_btl,'Loan Tape (S&amp;P)'!L94="BTL",
            is_self_cert,'Loan Tape (S&amp;P)'!AO94="Yes",
            is_performing,'Loan Tape (S&amp;P)'!AK94=0,
            IF(OR(is_btl,NOT(is_self_cert)),1.00,
                IF(is_performing,
                    LET(
                        months,('Control Panel'!$B$10-'Loan Tape (S&amp;P)'!F94)*12,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4" s="21">
        <f>IF('Loan Tape (S&amp;P)'!Q94="Yes",1.00,
        IF('Loan Tape (S&amp;P)'!AQ94="Yes",
            INDEX('FF Adj Parameters'!$B$42:$B$47,5),
        1.00))</f>
        <v/>
      </c>
      <c r="T94" s="21">
        <f>IFERROR(
        IF('Loan Tape (S&amp;P)'!N94&lt;&gt;"Interest Only",1.00,
            IF('Loan Tape (S&amp;P)'!L94="BTL",1.00,
                LET(
                    years_to_mat,('Loan Tape (S&amp;P)'!G94-'Control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4" s="21">
        <f>IF('Loan Tape (S&amp;P)'!L94="BTL",1.00,
        IF('Loan Tape (S&amp;P)'!X94="Yes",
            INDEX('FF Adj Parameters'!$B$58:$B$58,1),
        1.00))</f>
        <v/>
      </c>
      <c r="V94" s="21">
        <f>IF('Loan Tape (S&amp;P)'!AU94="Yes",
        INDEX('FF Adj Parameters'!$B$42:$B$47,6),
    1.00)</f>
        <v/>
      </c>
      <c r="W94" s="23">
        <f>IFERROR(
        LET(
            ccj_count,'Loan Tape (S&amp;P)'!AD94,
            ccj_value,'Loan Tape (S&amp;P)'!AG94,
            ccj_date,'Loan Tape (S&amp;P)'!AH94,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4" s="21">
        <f>1.00</f>
        <v/>
      </c>
      <c r="Y94" s="21">
        <f>IFERROR(
        IF('Loan Tape (S&amp;P)'!AR94="Yes",
            LET(
                months_since,('Control Panel'!$B$10-'Loan Tape (S&amp;P)'!AS94)/30.44,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IFERROR(
        LET(
            is_btl,'Loan Tape (S&amp;P)'!L95="BTL",
            seasoning_months,('Control Panel'!$B$10-'Loan Tape (S&amp;P)'!F95)*12,
            threshold_months,VLOOKUP('Control Panel'!$B$6,'Jurisdiction Parameters'!$A:$F,6,FALSE),
            num_borr,'Loan Tape (S&amp;P)'!T95,
            balance,'Loan Tape (S&amp;P)'!B95,
            borr1_inc,'Loan Tape (S&amp;P)'!R95,
            borr2_inc,'Loan Tape (S&amp;P)'!S95,
            total_inc,'Loan Tape (S&amp;P)'!U95,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5" s="21">
        <f>IFERROR(
        IF('Loan Tape (S&amp;P)'!L95="BTL",
            LET(
                rental,'Loan Tape (S&amp;P)'!AV95,
                balance,'Loan Tape (S&amp;P)'!B95,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5" s="21">
        <f>IFERROR(
        IF('Loan Tape (S&amp;P)'!AS95="First",
            INDEX('FF Adj Parameters'!$B$20:$B$22,1),
            IF('Loan Tape (S&amp;P)'!AS95="Second",
                INDEX('FF Adj Parameters'!$B$20:$B$22,2),
                INDEX('FF Adj Parameters'!$B$20:$B$22,3)
            )
        ),
    1)</f>
        <v/>
      </c>
      <c r="K95" s="21">
        <f>IFERROR(
        IF('Loan Tape (S&amp;P)'!AS95&lt;&gt;"First",1.00,
            IF('Loan Tape (S&amp;P)'!M95="Cash-out",
                INDEX('FF Adj Parameters'!$B$26:$B$28,3),
            1.00)
        ),
    1)</f>
        <v/>
      </c>
      <c r="L95" s="21">
        <f>IFERROR(
        LET(
            arr_months,'Loan Tape (S&amp;P)'!AK95,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5" s="21">
        <f>IFERROR(
        IF('Loan Tape (S&amp;P)'!AK95=0,
            LET(
                years,('Control Panel'!$B$10-'Loan Tape (S&amp;P)'!F95)/365.25,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5" s="21">
        <f>IFERROR(
        LET(
            is_btl,'Loan Tape (S&amp;P)'!L95="BTL",
            is_htb,'Loan Tape (S&amp;P)'!Q95="Yes",
            is_ftb,'Loan Tape (S&amp;P)'!AP95="Yes",
            seasoning_months,('Control Panel'!$B$10-'Loan Tape (S&amp;P)'!F95)*12,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5" s="21">
        <f>IF('Loan Tape (S&amp;P)'!Q95="Yes",
        INDEX('FF Adj Parameters'!$B$42:$B$47,2),
    1.00)</f>
        <v/>
      </c>
      <c r="P95" s="21">
        <f>IF('Loan Tape (S&amp;P)'!P95="Yes",
        INDEX('FF Adj Parameters'!$B$42:$B$47,3),
    1.00)</f>
        <v/>
      </c>
      <c r="Q95" s="21">
        <f>IF('Loan Tape (S&amp;P)'!O95="Yes",
        INDEX('FF Adj Parameters'!$B$42:$B$47,4),
    1.00)</f>
        <v/>
      </c>
      <c r="R95" s="21">
        <f>IFERROR(
        LET(
            is_btl,'Loan Tape (S&amp;P)'!L95="BTL",
            is_self_cert,'Loan Tape (S&amp;P)'!AO95="Yes",
            is_performing,'Loan Tape (S&amp;P)'!AK95=0,
            IF(OR(is_btl,NOT(is_self_cert)),1.00,
                IF(is_performing,
                    LET(
                        months,('Control Panel'!$B$10-'Loan Tape (S&amp;P)'!F95)*12,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5" s="21">
        <f>IF('Loan Tape (S&amp;P)'!Q95="Yes",1.00,
        IF('Loan Tape (S&amp;P)'!AQ95="Yes",
            INDEX('FF Adj Parameters'!$B$42:$B$47,5),
        1.00))</f>
        <v/>
      </c>
      <c r="T95" s="21">
        <f>IFERROR(
        IF('Loan Tape (S&amp;P)'!N95&lt;&gt;"Interest Only",1.00,
            IF('Loan Tape (S&amp;P)'!L95="BTL",1.00,
                LET(
                    years_to_mat,('Loan Tape (S&amp;P)'!G95-'Control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5" s="21">
        <f>IF('Loan Tape (S&amp;P)'!L95="BTL",1.00,
        IF('Loan Tape (S&amp;P)'!X95="Yes",
            INDEX('FF Adj Parameters'!$B$58:$B$58,1),
        1.00))</f>
        <v/>
      </c>
      <c r="V95" s="21">
        <f>IF('Loan Tape (S&amp;P)'!AU95="Yes",
        INDEX('FF Adj Parameters'!$B$42:$B$47,6),
    1.00)</f>
        <v/>
      </c>
      <c r="W95" s="23">
        <f>IFERROR(
        LET(
            ccj_count,'Loan Tape (S&amp;P)'!AD95,
            ccj_value,'Loan Tape (S&amp;P)'!AG95,
            ccj_date,'Loan Tape (S&amp;P)'!AH95,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5" s="21">
        <f>1.00</f>
        <v/>
      </c>
      <c r="Y95" s="21">
        <f>IFERROR(
        IF('Loan Tape (S&amp;P)'!AR95="Yes",
            LET(
                months_since,('Control Panel'!$B$10-'Loan Tape (S&amp;P)'!AS95)/30.44,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IFERROR(
        LET(
            is_btl,'Loan Tape (S&amp;P)'!L96="BTL",
            seasoning_months,('Control Panel'!$B$10-'Loan Tape (S&amp;P)'!F96)*12,
            threshold_months,VLOOKUP('Control Panel'!$B$6,'Jurisdiction Parameters'!$A:$F,6,FALSE),
            num_borr,'Loan Tape (S&amp;P)'!T96,
            balance,'Loan Tape (S&amp;P)'!B96,
            borr1_inc,'Loan Tape (S&amp;P)'!R96,
            borr2_inc,'Loan Tape (S&amp;P)'!S96,
            total_inc,'Loan Tape (S&amp;P)'!U96,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6" s="21">
        <f>IFERROR(
        IF('Loan Tape (S&amp;P)'!L96="BTL",
            LET(
                rental,'Loan Tape (S&amp;P)'!AV96,
                balance,'Loan Tape (S&amp;P)'!B96,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6" s="21">
        <f>IFERROR(
        IF('Loan Tape (S&amp;P)'!AS96="First",
            INDEX('FF Adj Parameters'!$B$20:$B$22,1),
            IF('Loan Tape (S&amp;P)'!AS96="Second",
                INDEX('FF Adj Parameters'!$B$20:$B$22,2),
                INDEX('FF Adj Parameters'!$B$20:$B$22,3)
            )
        ),
    1)</f>
        <v/>
      </c>
      <c r="K96" s="21">
        <f>IFERROR(
        IF('Loan Tape (S&amp;P)'!AS96&lt;&gt;"First",1.00,
            IF('Loan Tape (S&amp;P)'!M96="Cash-out",
                INDEX('FF Adj Parameters'!$B$26:$B$28,3),
            1.00)
        ),
    1)</f>
        <v/>
      </c>
      <c r="L96" s="21">
        <f>IFERROR(
        LET(
            arr_months,'Loan Tape (S&amp;P)'!AK96,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6" s="21">
        <f>IFERROR(
        IF('Loan Tape (S&amp;P)'!AK96=0,
            LET(
                years,('Control Panel'!$B$10-'Loan Tape (S&amp;P)'!F96)/365.25,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6" s="21">
        <f>IFERROR(
        LET(
            is_btl,'Loan Tape (S&amp;P)'!L96="BTL",
            is_htb,'Loan Tape (S&amp;P)'!Q96="Yes",
            is_ftb,'Loan Tape (S&amp;P)'!AP96="Yes",
            seasoning_months,('Control Panel'!$B$10-'Loan Tape (S&amp;P)'!F96)*12,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6" s="21">
        <f>IF('Loan Tape (S&amp;P)'!Q96="Yes",
        INDEX('FF Adj Parameters'!$B$42:$B$47,2),
    1.00)</f>
        <v/>
      </c>
      <c r="P96" s="21">
        <f>IF('Loan Tape (S&amp;P)'!P96="Yes",
        INDEX('FF Adj Parameters'!$B$42:$B$47,3),
    1.00)</f>
        <v/>
      </c>
      <c r="Q96" s="21">
        <f>IF('Loan Tape (S&amp;P)'!O96="Yes",
        INDEX('FF Adj Parameters'!$B$42:$B$47,4),
    1.00)</f>
        <v/>
      </c>
      <c r="R96" s="21">
        <f>IFERROR(
        LET(
            is_btl,'Loan Tape (S&amp;P)'!L96="BTL",
            is_self_cert,'Loan Tape (S&amp;P)'!AO96="Yes",
            is_performing,'Loan Tape (S&amp;P)'!AK96=0,
            IF(OR(is_btl,NOT(is_self_cert)),1.00,
                IF(is_performing,
                    LET(
                        months,('Control Panel'!$B$10-'Loan Tape (S&amp;P)'!F96)*12,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6" s="21">
        <f>IF('Loan Tape (S&amp;P)'!Q96="Yes",1.00,
        IF('Loan Tape (S&amp;P)'!AQ96="Yes",
            INDEX('FF Adj Parameters'!$B$42:$B$47,5),
        1.00))</f>
        <v/>
      </c>
      <c r="T96" s="21">
        <f>IFERROR(
        IF('Loan Tape (S&amp;P)'!N96&lt;&gt;"Interest Only",1.00,
            IF('Loan Tape (S&amp;P)'!L96="BTL",1.00,
                LET(
                    years_to_mat,('Loan Tape (S&amp;P)'!G96-'Control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6" s="21">
        <f>IF('Loan Tape (S&amp;P)'!L96="BTL",1.00,
        IF('Loan Tape (S&amp;P)'!X96="Yes",
            INDEX('FF Adj Parameters'!$B$58:$B$58,1),
        1.00))</f>
        <v/>
      </c>
      <c r="V96" s="21">
        <f>IF('Loan Tape (S&amp;P)'!AU96="Yes",
        INDEX('FF Adj Parameters'!$B$42:$B$47,6),
    1.00)</f>
        <v/>
      </c>
      <c r="W96" s="23">
        <f>IFERROR(
        LET(
            ccj_count,'Loan Tape (S&amp;P)'!AD96,
            ccj_value,'Loan Tape (S&amp;P)'!AG96,
            ccj_date,'Loan Tape (S&amp;P)'!AH96,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6" s="21">
        <f>1.00</f>
        <v/>
      </c>
      <c r="Y96" s="21">
        <f>IFERROR(
        IF('Loan Tape (S&amp;P)'!AR96="Yes",
            LET(
                months_since,('Control Panel'!$B$10-'Loan Tape (S&amp;P)'!AS96)/30.44,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IFERROR(
        LET(
            is_btl,'Loan Tape (S&amp;P)'!L97="BTL",
            seasoning_months,('Control Panel'!$B$10-'Loan Tape (S&amp;P)'!F97)*12,
            threshold_months,VLOOKUP('Control Panel'!$B$6,'Jurisdiction Parameters'!$A:$F,6,FALSE),
            num_borr,'Loan Tape (S&amp;P)'!T97,
            balance,'Loan Tape (S&amp;P)'!B97,
            borr1_inc,'Loan Tape (S&amp;P)'!R97,
            borr2_inc,'Loan Tape (S&amp;P)'!S97,
            total_inc,'Loan Tape (S&amp;P)'!U97,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7" s="21">
        <f>IFERROR(
        IF('Loan Tape (S&amp;P)'!L97="BTL",
            LET(
                rental,'Loan Tape (S&amp;P)'!AV97,
                balance,'Loan Tape (S&amp;P)'!B97,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7" s="21">
        <f>IFERROR(
        IF('Loan Tape (S&amp;P)'!AS97="First",
            INDEX('FF Adj Parameters'!$B$20:$B$22,1),
            IF('Loan Tape (S&amp;P)'!AS97="Second",
                INDEX('FF Adj Parameters'!$B$20:$B$22,2),
                INDEX('FF Adj Parameters'!$B$20:$B$22,3)
            )
        ),
    1)</f>
        <v/>
      </c>
      <c r="K97" s="21">
        <f>IFERROR(
        IF('Loan Tape (S&amp;P)'!AS97&lt;&gt;"First",1.00,
            IF('Loan Tape (S&amp;P)'!M97="Cash-out",
                INDEX('FF Adj Parameters'!$B$26:$B$28,3),
            1.00)
        ),
    1)</f>
        <v/>
      </c>
      <c r="L97" s="21">
        <f>IFERROR(
        LET(
            arr_months,'Loan Tape (S&amp;P)'!AK97,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7" s="21">
        <f>IFERROR(
        IF('Loan Tape (S&amp;P)'!AK97=0,
            LET(
                years,('Control Panel'!$B$10-'Loan Tape (S&amp;P)'!F97)/365.25,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7" s="21">
        <f>IFERROR(
        LET(
            is_btl,'Loan Tape (S&amp;P)'!L97="BTL",
            is_htb,'Loan Tape (S&amp;P)'!Q97="Yes",
            is_ftb,'Loan Tape (S&amp;P)'!AP97="Yes",
            seasoning_months,('Control Panel'!$B$10-'Loan Tape (S&amp;P)'!F97)*12,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7" s="21">
        <f>IF('Loan Tape (S&amp;P)'!Q97="Yes",
        INDEX('FF Adj Parameters'!$B$42:$B$47,2),
    1.00)</f>
        <v/>
      </c>
      <c r="P97" s="21">
        <f>IF('Loan Tape (S&amp;P)'!P97="Yes",
        INDEX('FF Adj Parameters'!$B$42:$B$47,3),
    1.00)</f>
        <v/>
      </c>
      <c r="Q97" s="21">
        <f>IF('Loan Tape (S&amp;P)'!O97="Yes",
        INDEX('FF Adj Parameters'!$B$42:$B$47,4),
    1.00)</f>
        <v/>
      </c>
      <c r="R97" s="21">
        <f>IFERROR(
        LET(
            is_btl,'Loan Tape (S&amp;P)'!L97="BTL",
            is_self_cert,'Loan Tape (S&amp;P)'!AO97="Yes",
            is_performing,'Loan Tape (S&amp;P)'!AK97=0,
            IF(OR(is_btl,NOT(is_self_cert)),1.00,
                IF(is_performing,
                    LET(
                        months,('Control Panel'!$B$10-'Loan Tape (S&amp;P)'!F97)*12,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7" s="21">
        <f>IF('Loan Tape (S&amp;P)'!Q97="Yes",1.00,
        IF('Loan Tape (S&amp;P)'!AQ97="Yes",
            INDEX('FF Adj Parameters'!$B$42:$B$47,5),
        1.00))</f>
        <v/>
      </c>
      <c r="T97" s="21">
        <f>IFERROR(
        IF('Loan Tape (S&amp;P)'!N97&lt;&gt;"Interest Only",1.00,
            IF('Loan Tape (S&amp;P)'!L97="BTL",1.00,
                LET(
                    years_to_mat,('Loan Tape (S&amp;P)'!G97-'Control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7" s="21">
        <f>IF('Loan Tape (S&amp;P)'!L97="BTL",1.00,
        IF('Loan Tape (S&amp;P)'!X97="Yes",
            INDEX('FF Adj Parameters'!$B$58:$B$58,1),
        1.00))</f>
        <v/>
      </c>
      <c r="V97" s="21">
        <f>IF('Loan Tape (S&amp;P)'!AU97="Yes",
        INDEX('FF Adj Parameters'!$B$42:$B$47,6),
    1.00)</f>
        <v/>
      </c>
      <c r="W97" s="23">
        <f>IFERROR(
        LET(
            ccj_count,'Loan Tape (S&amp;P)'!AD97,
            ccj_value,'Loan Tape (S&amp;P)'!AG97,
            ccj_date,'Loan Tape (S&amp;P)'!AH97,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7" s="21">
        <f>1.00</f>
        <v/>
      </c>
      <c r="Y97" s="21">
        <f>IFERROR(
        IF('Loan Tape (S&amp;P)'!AR97="Yes",
            LET(
                months_since,('Control Panel'!$B$10-'Loan Tape (S&amp;P)'!AS97)/30.44,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IFERROR(
        LET(
            is_btl,'Loan Tape (S&amp;P)'!L98="BTL",
            seasoning_months,('Control Panel'!$B$10-'Loan Tape (S&amp;P)'!F98)*12,
            threshold_months,VLOOKUP('Control Panel'!$B$6,'Jurisdiction Parameters'!$A:$F,6,FALSE),
            num_borr,'Loan Tape (S&amp;P)'!T98,
            balance,'Loan Tape (S&amp;P)'!B98,
            borr1_inc,'Loan Tape (S&amp;P)'!R98,
            borr2_inc,'Loan Tape (S&amp;P)'!S98,
            total_inc,'Loan Tape (S&amp;P)'!U98,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8" s="21">
        <f>IFERROR(
        IF('Loan Tape (S&amp;P)'!L98="BTL",
            LET(
                rental,'Loan Tape (S&amp;P)'!AV98,
                balance,'Loan Tape (S&amp;P)'!B98,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8" s="21">
        <f>IFERROR(
        IF('Loan Tape (S&amp;P)'!AS98="First",
            INDEX('FF Adj Parameters'!$B$20:$B$22,1),
            IF('Loan Tape (S&amp;P)'!AS98="Second",
                INDEX('FF Adj Parameters'!$B$20:$B$22,2),
                INDEX('FF Adj Parameters'!$B$20:$B$22,3)
            )
        ),
    1)</f>
        <v/>
      </c>
      <c r="K98" s="21">
        <f>IFERROR(
        IF('Loan Tape (S&amp;P)'!AS98&lt;&gt;"First",1.00,
            IF('Loan Tape (S&amp;P)'!M98="Cash-out",
                INDEX('FF Adj Parameters'!$B$26:$B$28,3),
            1.00)
        ),
    1)</f>
        <v/>
      </c>
      <c r="L98" s="21">
        <f>IFERROR(
        LET(
            arr_months,'Loan Tape (S&amp;P)'!AK98,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8" s="21">
        <f>IFERROR(
        IF('Loan Tape (S&amp;P)'!AK98=0,
            LET(
                years,('Control Panel'!$B$10-'Loan Tape (S&amp;P)'!F98)/365.25,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8" s="21">
        <f>IFERROR(
        LET(
            is_btl,'Loan Tape (S&amp;P)'!L98="BTL",
            is_htb,'Loan Tape (S&amp;P)'!Q98="Yes",
            is_ftb,'Loan Tape (S&amp;P)'!AP98="Yes",
            seasoning_months,('Control Panel'!$B$10-'Loan Tape (S&amp;P)'!F98)*12,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8" s="21">
        <f>IF('Loan Tape (S&amp;P)'!Q98="Yes",
        INDEX('FF Adj Parameters'!$B$42:$B$47,2),
    1.00)</f>
        <v/>
      </c>
      <c r="P98" s="21">
        <f>IF('Loan Tape (S&amp;P)'!P98="Yes",
        INDEX('FF Adj Parameters'!$B$42:$B$47,3),
    1.00)</f>
        <v/>
      </c>
      <c r="Q98" s="21">
        <f>IF('Loan Tape (S&amp;P)'!O98="Yes",
        INDEX('FF Adj Parameters'!$B$42:$B$47,4),
    1.00)</f>
        <v/>
      </c>
      <c r="R98" s="21">
        <f>IFERROR(
        LET(
            is_btl,'Loan Tape (S&amp;P)'!L98="BTL",
            is_self_cert,'Loan Tape (S&amp;P)'!AO98="Yes",
            is_performing,'Loan Tape (S&amp;P)'!AK98=0,
            IF(OR(is_btl,NOT(is_self_cert)),1.00,
                IF(is_performing,
                    LET(
                        months,('Control Panel'!$B$10-'Loan Tape (S&amp;P)'!F98)*12,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8" s="21">
        <f>IF('Loan Tape (S&amp;P)'!Q98="Yes",1.00,
        IF('Loan Tape (S&amp;P)'!AQ98="Yes",
            INDEX('FF Adj Parameters'!$B$42:$B$47,5),
        1.00))</f>
        <v/>
      </c>
      <c r="T98" s="21">
        <f>IFERROR(
        IF('Loan Tape (S&amp;P)'!N98&lt;&gt;"Interest Only",1.00,
            IF('Loan Tape (S&amp;P)'!L98="BTL",1.00,
                LET(
                    years_to_mat,('Loan Tape (S&amp;P)'!G98-'Control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8" s="21">
        <f>IF('Loan Tape (S&amp;P)'!L98="BTL",1.00,
        IF('Loan Tape (S&amp;P)'!X98="Yes",
            INDEX('FF Adj Parameters'!$B$58:$B$58,1),
        1.00))</f>
        <v/>
      </c>
      <c r="V98" s="21">
        <f>IF('Loan Tape (S&amp;P)'!AU98="Yes",
        INDEX('FF Adj Parameters'!$B$42:$B$47,6),
    1.00)</f>
        <v/>
      </c>
      <c r="W98" s="23">
        <f>IFERROR(
        LET(
            ccj_count,'Loan Tape (S&amp;P)'!AD98,
            ccj_value,'Loan Tape (S&amp;P)'!AG98,
            ccj_date,'Loan Tape (S&amp;P)'!AH98,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8" s="21">
        <f>1.00</f>
        <v/>
      </c>
      <c r="Y98" s="21">
        <f>IFERROR(
        IF('Loan Tape (S&amp;P)'!AR98="Yes",
            LET(
                months_since,('Control Panel'!$B$10-'Loan Tape (S&amp;P)'!AS98)/30.44,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IFERROR(
        LET(
            is_btl,'Loan Tape (S&amp;P)'!L99="BTL",
            seasoning_months,('Control Panel'!$B$10-'Loan Tape (S&amp;P)'!F99)*12,
            threshold_months,VLOOKUP('Control Panel'!$B$6,'Jurisdiction Parameters'!$A:$F,6,FALSE),
            num_borr,'Loan Tape (S&amp;P)'!T99,
            balance,'Loan Tape (S&amp;P)'!B99,
            borr1_inc,'Loan Tape (S&amp;P)'!R99,
            borr2_inc,'Loan Tape (S&amp;P)'!S99,
            total_inc,'Loan Tape (S&amp;P)'!U99,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99" s="21">
        <f>IFERROR(
        IF('Loan Tape (S&amp;P)'!L99="BTL",
            LET(
                rental,'Loan Tape (S&amp;P)'!AV99,
                balance,'Loan Tape (S&amp;P)'!B99,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99" s="21">
        <f>IFERROR(
        IF('Loan Tape (S&amp;P)'!AS99="First",
            INDEX('FF Adj Parameters'!$B$20:$B$22,1),
            IF('Loan Tape (S&amp;P)'!AS99="Second",
                INDEX('FF Adj Parameters'!$B$20:$B$22,2),
                INDEX('FF Adj Parameters'!$B$20:$B$22,3)
            )
        ),
    1)</f>
        <v/>
      </c>
      <c r="K99" s="21">
        <f>IFERROR(
        IF('Loan Tape (S&amp;P)'!AS99&lt;&gt;"First",1.00,
            IF('Loan Tape (S&amp;P)'!M99="Cash-out",
                INDEX('FF Adj Parameters'!$B$26:$B$28,3),
            1.00)
        ),
    1)</f>
        <v/>
      </c>
      <c r="L99" s="21">
        <f>IFERROR(
        LET(
            arr_months,'Loan Tape (S&amp;P)'!AK99,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99" s="21">
        <f>IFERROR(
        IF('Loan Tape (S&amp;P)'!AK99=0,
            LET(
                years,('Control Panel'!$B$10-'Loan Tape (S&amp;P)'!F99)/365.25,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99" s="21">
        <f>IFERROR(
        LET(
            is_btl,'Loan Tape (S&amp;P)'!L99="BTL",
            is_htb,'Loan Tape (S&amp;P)'!Q99="Yes",
            is_ftb,'Loan Tape (S&amp;P)'!AP99="Yes",
            seasoning_months,('Control Panel'!$B$10-'Loan Tape (S&amp;P)'!F99)*12,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99" s="21">
        <f>IF('Loan Tape (S&amp;P)'!Q99="Yes",
        INDEX('FF Adj Parameters'!$B$42:$B$47,2),
    1.00)</f>
        <v/>
      </c>
      <c r="P99" s="21">
        <f>IF('Loan Tape (S&amp;P)'!P99="Yes",
        INDEX('FF Adj Parameters'!$B$42:$B$47,3),
    1.00)</f>
        <v/>
      </c>
      <c r="Q99" s="21">
        <f>IF('Loan Tape (S&amp;P)'!O99="Yes",
        INDEX('FF Adj Parameters'!$B$42:$B$47,4),
    1.00)</f>
        <v/>
      </c>
      <c r="R99" s="21">
        <f>IFERROR(
        LET(
            is_btl,'Loan Tape (S&amp;P)'!L99="BTL",
            is_self_cert,'Loan Tape (S&amp;P)'!AO99="Yes",
            is_performing,'Loan Tape (S&amp;P)'!AK99=0,
            IF(OR(is_btl,NOT(is_self_cert)),1.00,
                IF(is_performing,
                    LET(
                        months,('Control Panel'!$B$10-'Loan Tape (S&amp;P)'!F99)*12,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99" s="21">
        <f>IF('Loan Tape (S&amp;P)'!Q99="Yes",1.00,
        IF('Loan Tape (S&amp;P)'!AQ99="Yes",
            INDEX('FF Adj Parameters'!$B$42:$B$47,5),
        1.00))</f>
        <v/>
      </c>
      <c r="T99" s="21">
        <f>IFERROR(
        IF('Loan Tape (S&amp;P)'!N99&lt;&gt;"Interest Only",1.00,
            IF('Loan Tape (S&amp;P)'!L99="BTL",1.00,
                LET(
                    years_to_mat,('Loan Tape (S&amp;P)'!G99-'Control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99" s="21">
        <f>IF('Loan Tape (S&amp;P)'!L99="BTL",1.00,
        IF('Loan Tape (S&amp;P)'!X99="Yes",
            INDEX('FF Adj Parameters'!$B$58:$B$58,1),
        1.00))</f>
        <v/>
      </c>
      <c r="V99" s="21">
        <f>IF('Loan Tape (S&amp;P)'!AU99="Yes",
        INDEX('FF Adj Parameters'!$B$42:$B$47,6),
    1.00)</f>
        <v/>
      </c>
      <c r="W99" s="23">
        <f>IFERROR(
        LET(
            ccj_count,'Loan Tape (S&amp;P)'!AD99,
            ccj_value,'Loan Tape (S&amp;P)'!AG99,
            ccj_date,'Loan Tape (S&amp;P)'!AH99,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99" s="21">
        <f>1.00</f>
        <v/>
      </c>
      <c r="Y99" s="21">
        <f>IFERROR(
        IF('Loan Tape (S&amp;P)'!AR99="Yes",
            LET(
                months_since,('Control Panel'!$B$10-'Loan Tape (S&amp;P)'!AS99)/30.44,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IFERROR(
        LET(
            is_btl,'Loan Tape (S&amp;P)'!L100="BTL",
            seasoning_months,('Control Panel'!$B$10-'Loan Tape (S&amp;P)'!F100)*12,
            threshold_months,VLOOKUP('Control Panel'!$B$6,'Jurisdiction Parameters'!$A:$F,6,FALSE),
            num_borr,'Loan Tape (S&amp;P)'!T100,
            balance,'Loan Tape (S&amp;P)'!B100,
            borr1_inc,'Loan Tape (S&amp;P)'!R100,
            borr2_inc,'Loan Tape (S&amp;P)'!S100,
            total_inc,'Loan Tape (S&amp;P)'!U100,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0" s="21">
        <f>IFERROR(
        IF('Loan Tape (S&amp;P)'!L100="BTL",
            LET(
                rental,'Loan Tape (S&amp;P)'!AV100,
                balance,'Loan Tape (S&amp;P)'!B100,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0" s="21">
        <f>IFERROR(
        IF('Loan Tape (S&amp;P)'!AS100="First",
            INDEX('FF Adj Parameters'!$B$20:$B$22,1),
            IF('Loan Tape (S&amp;P)'!AS100="Second",
                INDEX('FF Adj Parameters'!$B$20:$B$22,2),
                INDEX('FF Adj Parameters'!$B$20:$B$22,3)
            )
        ),
    1)</f>
        <v/>
      </c>
      <c r="K100" s="21">
        <f>IFERROR(
        IF('Loan Tape (S&amp;P)'!AS100&lt;&gt;"First",1.00,
            IF('Loan Tape (S&amp;P)'!M100="Cash-out",
                INDEX('FF Adj Parameters'!$B$26:$B$28,3),
            1.00)
        ),
    1)</f>
        <v/>
      </c>
      <c r="L100" s="21">
        <f>IFERROR(
        LET(
            arr_months,'Loan Tape (S&amp;P)'!AK100,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0" s="21">
        <f>IFERROR(
        IF('Loan Tape (S&amp;P)'!AK100=0,
            LET(
                years,('Control Panel'!$B$10-'Loan Tape (S&amp;P)'!F100)/365.25,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0" s="21">
        <f>IFERROR(
        LET(
            is_btl,'Loan Tape (S&amp;P)'!L100="BTL",
            is_htb,'Loan Tape (S&amp;P)'!Q100="Yes",
            is_ftb,'Loan Tape (S&amp;P)'!AP100="Yes",
            seasoning_months,('Control Panel'!$B$10-'Loan Tape (S&amp;P)'!F100)*12,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0" s="21">
        <f>IF('Loan Tape (S&amp;P)'!Q100="Yes",
        INDEX('FF Adj Parameters'!$B$42:$B$47,2),
    1.00)</f>
        <v/>
      </c>
      <c r="P100" s="21">
        <f>IF('Loan Tape (S&amp;P)'!P100="Yes",
        INDEX('FF Adj Parameters'!$B$42:$B$47,3),
    1.00)</f>
        <v/>
      </c>
      <c r="Q100" s="21">
        <f>IF('Loan Tape (S&amp;P)'!O100="Yes",
        INDEX('FF Adj Parameters'!$B$42:$B$47,4),
    1.00)</f>
        <v/>
      </c>
      <c r="R100" s="21">
        <f>IFERROR(
        LET(
            is_btl,'Loan Tape (S&amp;P)'!L100="BTL",
            is_self_cert,'Loan Tape (S&amp;P)'!AO100="Yes",
            is_performing,'Loan Tape (S&amp;P)'!AK100=0,
            IF(OR(is_btl,NOT(is_self_cert)),1.00,
                IF(is_performing,
                    LET(
                        months,('Control Panel'!$B$10-'Loan Tape (S&amp;P)'!F100)*12,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0" s="21">
        <f>IF('Loan Tape (S&amp;P)'!Q100="Yes",1.00,
        IF('Loan Tape (S&amp;P)'!AQ100="Yes",
            INDEX('FF Adj Parameters'!$B$42:$B$47,5),
        1.00))</f>
        <v/>
      </c>
      <c r="T100" s="21">
        <f>IFERROR(
        IF('Loan Tape (S&amp;P)'!N100&lt;&gt;"Interest Only",1.00,
            IF('Loan Tape (S&amp;P)'!L100="BTL",1.00,
                LET(
                    years_to_mat,('Loan Tape (S&amp;P)'!G100-'Control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0" s="21">
        <f>IF('Loan Tape (S&amp;P)'!L100="BTL",1.00,
        IF('Loan Tape (S&amp;P)'!X100="Yes",
            INDEX('FF Adj Parameters'!$B$58:$B$58,1),
        1.00))</f>
        <v/>
      </c>
      <c r="V100" s="21">
        <f>IF('Loan Tape (S&amp;P)'!AU100="Yes",
        INDEX('FF Adj Parameters'!$B$42:$B$47,6),
    1.00)</f>
        <v/>
      </c>
      <c r="W100" s="23">
        <f>IFERROR(
        LET(
            ccj_count,'Loan Tape (S&amp;P)'!AD100,
            ccj_value,'Loan Tape (S&amp;P)'!AG100,
            ccj_date,'Loan Tape (S&amp;P)'!AH100,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0" s="21">
        <f>1.00</f>
        <v/>
      </c>
      <c r="Y100" s="21">
        <f>IFERROR(
        IF('Loan Tape (S&amp;P)'!AR100="Yes",
            LET(
                months_since,('Control Panel'!$B$10-'Loan Tape (S&amp;P)'!AS100)/30.44,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IFERROR(
        LET(
            is_btl,'Loan Tape (S&amp;P)'!L101="BTL",
            seasoning_months,('Control Panel'!$B$10-'Loan Tape (S&amp;P)'!F101)*12,
            threshold_months,VLOOKUP('Control Panel'!$B$6,'Jurisdiction Parameters'!$A:$F,6,FALSE),
            num_borr,'Loan Tape (S&amp;P)'!T101,
            balance,'Loan Tape (S&amp;P)'!B101,
            borr1_inc,'Loan Tape (S&amp;P)'!R101,
            borr2_inc,'Loan Tape (S&amp;P)'!S101,
            total_inc,'Loan Tape (S&amp;P)'!U101,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1" s="21">
        <f>IFERROR(
        IF('Loan Tape (S&amp;P)'!L101="BTL",
            LET(
                rental,'Loan Tape (S&amp;P)'!AV101,
                balance,'Loan Tape (S&amp;P)'!B101,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1" s="21">
        <f>IFERROR(
        IF('Loan Tape (S&amp;P)'!AS101="First",
            INDEX('FF Adj Parameters'!$B$20:$B$22,1),
            IF('Loan Tape (S&amp;P)'!AS101="Second",
                INDEX('FF Adj Parameters'!$B$20:$B$22,2),
                INDEX('FF Adj Parameters'!$B$20:$B$22,3)
            )
        ),
    1)</f>
        <v/>
      </c>
      <c r="K101" s="21">
        <f>IFERROR(
        IF('Loan Tape (S&amp;P)'!AS101&lt;&gt;"First",1.00,
            IF('Loan Tape (S&amp;P)'!M101="Cash-out",
                INDEX('FF Adj Parameters'!$B$26:$B$28,3),
            1.00)
        ),
    1)</f>
        <v/>
      </c>
      <c r="L101" s="21">
        <f>IFERROR(
        LET(
            arr_months,'Loan Tape (S&amp;P)'!AK101,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1" s="21">
        <f>IFERROR(
        IF('Loan Tape (S&amp;P)'!AK101=0,
            LET(
                years,('Control Panel'!$B$10-'Loan Tape (S&amp;P)'!F101)/365.25,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1" s="21">
        <f>IFERROR(
        LET(
            is_btl,'Loan Tape (S&amp;P)'!L101="BTL",
            is_htb,'Loan Tape (S&amp;P)'!Q101="Yes",
            is_ftb,'Loan Tape (S&amp;P)'!AP101="Yes",
            seasoning_months,('Control Panel'!$B$10-'Loan Tape (S&amp;P)'!F101)*12,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1" s="21">
        <f>IF('Loan Tape (S&amp;P)'!Q101="Yes",
        INDEX('FF Adj Parameters'!$B$42:$B$47,2),
    1.00)</f>
        <v/>
      </c>
      <c r="P101" s="21">
        <f>IF('Loan Tape (S&amp;P)'!P101="Yes",
        INDEX('FF Adj Parameters'!$B$42:$B$47,3),
    1.00)</f>
        <v/>
      </c>
      <c r="Q101" s="21">
        <f>IF('Loan Tape (S&amp;P)'!O101="Yes",
        INDEX('FF Adj Parameters'!$B$42:$B$47,4),
    1.00)</f>
        <v/>
      </c>
      <c r="R101" s="21">
        <f>IFERROR(
        LET(
            is_btl,'Loan Tape (S&amp;P)'!L101="BTL",
            is_self_cert,'Loan Tape (S&amp;P)'!AO101="Yes",
            is_performing,'Loan Tape (S&amp;P)'!AK101=0,
            IF(OR(is_btl,NOT(is_self_cert)),1.00,
                IF(is_performing,
                    LET(
                        months,('Control Panel'!$B$10-'Loan Tape (S&amp;P)'!F101)*12,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1" s="21">
        <f>IF('Loan Tape (S&amp;P)'!Q101="Yes",1.00,
        IF('Loan Tape (S&amp;P)'!AQ101="Yes",
            INDEX('FF Adj Parameters'!$B$42:$B$47,5),
        1.00))</f>
        <v/>
      </c>
      <c r="T101" s="21">
        <f>IFERROR(
        IF('Loan Tape (S&amp;P)'!N101&lt;&gt;"Interest Only",1.00,
            IF('Loan Tape (S&amp;P)'!L101="BTL",1.00,
                LET(
                    years_to_mat,('Loan Tape (S&amp;P)'!G101-'Control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1" s="21">
        <f>IF('Loan Tape (S&amp;P)'!L101="BTL",1.00,
        IF('Loan Tape (S&amp;P)'!X101="Yes",
            INDEX('FF Adj Parameters'!$B$58:$B$58,1),
        1.00))</f>
        <v/>
      </c>
      <c r="V101" s="21">
        <f>IF('Loan Tape (S&amp;P)'!AU101="Yes",
        INDEX('FF Adj Parameters'!$B$42:$B$47,6),
    1.00)</f>
        <v/>
      </c>
      <c r="W101" s="23">
        <f>IFERROR(
        LET(
            ccj_count,'Loan Tape (S&amp;P)'!AD101,
            ccj_value,'Loan Tape (S&amp;P)'!AG101,
            ccj_date,'Loan Tape (S&amp;P)'!AH101,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1" s="21">
        <f>1.00</f>
        <v/>
      </c>
      <c r="Y101" s="21">
        <f>IFERROR(
        IF('Loan Tape (S&amp;P)'!AR101="Yes",
            LET(
                months_since,('Control Panel'!$B$10-'Loan Tape (S&amp;P)'!AS101)/30.44,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IFERROR(
        LET(
            is_btl,'Loan Tape (S&amp;P)'!L102="BTL",
            seasoning_months,('Control Panel'!$B$10-'Loan Tape (S&amp;P)'!F102)*12,
            threshold_months,VLOOKUP('Control Panel'!$B$6,'Jurisdiction Parameters'!$A:$F,6,FALSE),
            num_borr,'Loan Tape (S&amp;P)'!T102,
            balance,'Loan Tape (S&amp;P)'!B102,
            borr1_inc,'Loan Tape (S&amp;P)'!R102,
            borr2_inc,'Loan Tape (S&amp;P)'!S102,
            total_inc,'Loan Tape (S&amp;P)'!U102,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2" s="21">
        <f>IFERROR(
        IF('Loan Tape (S&amp;P)'!L102="BTL",
            LET(
                rental,'Loan Tape (S&amp;P)'!AV102,
                balance,'Loan Tape (S&amp;P)'!B102,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2" s="21">
        <f>IFERROR(
        IF('Loan Tape (S&amp;P)'!AS102="First",
            INDEX('FF Adj Parameters'!$B$20:$B$22,1),
            IF('Loan Tape (S&amp;P)'!AS102="Second",
                INDEX('FF Adj Parameters'!$B$20:$B$22,2),
                INDEX('FF Adj Parameters'!$B$20:$B$22,3)
            )
        ),
    1)</f>
        <v/>
      </c>
      <c r="K102" s="21">
        <f>IFERROR(
        IF('Loan Tape (S&amp;P)'!AS102&lt;&gt;"First",1.00,
            IF('Loan Tape (S&amp;P)'!M102="Cash-out",
                INDEX('FF Adj Parameters'!$B$26:$B$28,3),
            1.00)
        ),
    1)</f>
        <v/>
      </c>
      <c r="L102" s="21">
        <f>IFERROR(
        LET(
            arr_months,'Loan Tape (S&amp;P)'!AK102,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2" s="21">
        <f>IFERROR(
        IF('Loan Tape (S&amp;P)'!AK102=0,
            LET(
                years,('Control Panel'!$B$10-'Loan Tape (S&amp;P)'!F102)/365.25,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2" s="21">
        <f>IFERROR(
        LET(
            is_btl,'Loan Tape (S&amp;P)'!L102="BTL",
            is_htb,'Loan Tape (S&amp;P)'!Q102="Yes",
            is_ftb,'Loan Tape (S&amp;P)'!AP102="Yes",
            seasoning_months,('Control Panel'!$B$10-'Loan Tape (S&amp;P)'!F102)*12,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2" s="21">
        <f>IF('Loan Tape (S&amp;P)'!Q102="Yes",
        INDEX('FF Adj Parameters'!$B$42:$B$47,2),
    1.00)</f>
        <v/>
      </c>
      <c r="P102" s="21">
        <f>IF('Loan Tape (S&amp;P)'!P102="Yes",
        INDEX('FF Adj Parameters'!$B$42:$B$47,3),
    1.00)</f>
        <v/>
      </c>
      <c r="Q102" s="21">
        <f>IF('Loan Tape (S&amp;P)'!O102="Yes",
        INDEX('FF Adj Parameters'!$B$42:$B$47,4),
    1.00)</f>
        <v/>
      </c>
      <c r="R102" s="21">
        <f>IFERROR(
        LET(
            is_btl,'Loan Tape (S&amp;P)'!L102="BTL",
            is_self_cert,'Loan Tape (S&amp;P)'!AO102="Yes",
            is_performing,'Loan Tape (S&amp;P)'!AK102=0,
            IF(OR(is_btl,NOT(is_self_cert)),1.00,
                IF(is_performing,
                    LET(
                        months,('Control Panel'!$B$10-'Loan Tape (S&amp;P)'!F102)*12,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2" s="21">
        <f>IF('Loan Tape (S&amp;P)'!Q102="Yes",1.00,
        IF('Loan Tape (S&amp;P)'!AQ102="Yes",
            INDEX('FF Adj Parameters'!$B$42:$B$47,5),
        1.00))</f>
        <v/>
      </c>
      <c r="T102" s="21">
        <f>IFERROR(
        IF('Loan Tape (S&amp;P)'!N102&lt;&gt;"Interest Only",1.00,
            IF('Loan Tape (S&amp;P)'!L102="BTL",1.00,
                LET(
                    years_to_mat,('Loan Tape (S&amp;P)'!G102-'Control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2" s="21">
        <f>IF('Loan Tape (S&amp;P)'!L102="BTL",1.00,
        IF('Loan Tape (S&amp;P)'!X102="Yes",
            INDEX('FF Adj Parameters'!$B$58:$B$58,1),
        1.00))</f>
        <v/>
      </c>
      <c r="V102" s="21">
        <f>IF('Loan Tape (S&amp;P)'!AU102="Yes",
        INDEX('FF Adj Parameters'!$B$42:$B$47,6),
    1.00)</f>
        <v/>
      </c>
      <c r="W102" s="23">
        <f>IFERROR(
        LET(
            ccj_count,'Loan Tape (S&amp;P)'!AD102,
            ccj_value,'Loan Tape (S&amp;P)'!AG102,
            ccj_date,'Loan Tape (S&amp;P)'!AH102,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2" s="21">
        <f>1.00</f>
        <v/>
      </c>
      <c r="Y102" s="21">
        <f>IFERROR(
        IF('Loan Tape (S&amp;P)'!AR102="Yes",
            LET(
                months_since,('Control Panel'!$B$10-'Loan Tape (S&amp;P)'!AS102)/30.44,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IFERROR(
        LET(
            is_btl,'Loan Tape (S&amp;P)'!L103="BTL",
            seasoning_months,('Control Panel'!$B$10-'Loan Tape (S&amp;P)'!F103)*12,
            threshold_months,VLOOKUP('Control Panel'!$B$6,'Jurisdiction Parameters'!$A:$F,6,FALSE),
            num_borr,'Loan Tape (S&amp;P)'!T103,
            balance,'Loan Tape (S&amp;P)'!B103,
            borr1_inc,'Loan Tape (S&amp;P)'!R103,
            borr2_inc,'Loan Tape (S&amp;P)'!S103,
            total_inc,'Loan Tape (S&amp;P)'!U103,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3" s="21">
        <f>IFERROR(
        IF('Loan Tape (S&amp;P)'!L103="BTL",
            LET(
                rental,'Loan Tape (S&amp;P)'!AV103,
                balance,'Loan Tape (S&amp;P)'!B103,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3" s="21">
        <f>IFERROR(
        IF('Loan Tape (S&amp;P)'!AS103="First",
            INDEX('FF Adj Parameters'!$B$20:$B$22,1),
            IF('Loan Tape (S&amp;P)'!AS103="Second",
                INDEX('FF Adj Parameters'!$B$20:$B$22,2),
                INDEX('FF Adj Parameters'!$B$20:$B$22,3)
            )
        ),
    1)</f>
        <v/>
      </c>
      <c r="K103" s="21">
        <f>IFERROR(
        IF('Loan Tape (S&amp;P)'!AS103&lt;&gt;"First",1.00,
            IF('Loan Tape (S&amp;P)'!M103="Cash-out",
                INDEX('FF Adj Parameters'!$B$26:$B$28,3),
            1.00)
        ),
    1)</f>
        <v/>
      </c>
      <c r="L103" s="21">
        <f>IFERROR(
        LET(
            arr_months,'Loan Tape (S&amp;P)'!AK103,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3" s="21">
        <f>IFERROR(
        IF('Loan Tape (S&amp;P)'!AK103=0,
            LET(
                years,('Control Panel'!$B$10-'Loan Tape (S&amp;P)'!F103)/365.25,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3" s="21">
        <f>IFERROR(
        LET(
            is_btl,'Loan Tape (S&amp;P)'!L103="BTL",
            is_htb,'Loan Tape (S&amp;P)'!Q103="Yes",
            is_ftb,'Loan Tape (S&amp;P)'!AP103="Yes",
            seasoning_months,('Control Panel'!$B$10-'Loan Tape (S&amp;P)'!F103)*12,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3" s="21">
        <f>IF('Loan Tape (S&amp;P)'!Q103="Yes",
        INDEX('FF Adj Parameters'!$B$42:$B$47,2),
    1.00)</f>
        <v/>
      </c>
      <c r="P103" s="21">
        <f>IF('Loan Tape (S&amp;P)'!P103="Yes",
        INDEX('FF Adj Parameters'!$B$42:$B$47,3),
    1.00)</f>
        <v/>
      </c>
      <c r="Q103" s="21">
        <f>IF('Loan Tape (S&amp;P)'!O103="Yes",
        INDEX('FF Adj Parameters'!$B$42:$B$47,4),
    1.00)</f>
        <v/>
      </c>
      <c r="R103" s="21">
        <f>IFERROR(
        LET(
            is_btl,'Loan Tape (S&amp;P)'!L103="BTL",
            is_self_cert,'Loan Tape (S&amp;P)'!AO103="Yes",
            is_performing,'Loan Tape (S&amp;P)'!AK103=0,
            IF(OR(is_btl,NOT(is_self_cert)),1.00,
                IF(is_performing,
                    LET(
                        months,('Control Panel'!$B$10-'Loan Tape (S&amp;P)'!F103)*12,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3" s="21">
        <f>IF('Loan Tape (S&amp;P)'!Q103="Yes",1.00,
        IF('Loan Tape (S&amp;P)'!AQ103="Yes",
            INDEX('FF Adj Parameters'!$B$42:$B$47,5),
        1.00))</f>
        <v/>
      </c>
      <c r="T103" s="21">
        <f>IFERROR(
        IF('Loan Tape (S&amp;P)'!N103&lt;&gt;"Interest Only",1.00,
            IF('Loan Tape (S&amp;P)'!L103="BTL",1.00,
                LET(
                    years_to_mat,('Loan Tape (S&amp;P)'!G103-'Control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3" s="21">
        <f>IF('Loan Tape (S&amp;P)'!L103="BTL",1.00,
        IF('Loan Tape (S&amp;P)'!X103="Yes",
            INDEX('FF Adj Parameters'!$B$58:$B$58,1),
        1.00))</f>
        <v/>
      </c>
      <c r="V103" s="21">
        <f>IF('Loan Tape (S&amp;P)'!AU103="Yes",
        INDEX('FF Adj Parameters'!$B$42:$B$47,6),
    1.00)</f>
        <v/>
      </c>
      <c r="W103" s="23">
        <f>IFERROR(
        LET(
            ccj_count,'Loan Tape (S&amp;P)'!AD103,
            ccj_value,'Loan Tape (S&amp;P)'!AG103,
            ccj_date,'Loan Tape (S&amp;P)'!AH103,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3" s="21">
        <f>1.00</f>
        <v/>
      </c>
      <c r="Y103" s="21">
        <f>IFERROR(
        IF('Loan Tape (S&amp;P)'!AR103="Yes",
            LET(
                months_since,('Control Panel'!$B$10-'Loan Tape (S&amp;P)'!AS103)/30.44,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IFERROR(
        LET(
            is_btl,'Loan Tape (S&amp;P)'!L104="BTL",
            seasoning_months,('Control Panel'!$B$10-'Loan Tape (S&amp;P)'!F104)*12,
            threshold_months,VLOOKUP('Control Panel'!$B$6,'Jurisdiction Parameters'!$A:$F,6,FALSE),
            num_borr,'Loan Tape (S&amp;P)'!T104,
            balance,'Loan Tape (S&amp;P)'!B104,
            borr1_inc,'Loan Tape (S&amp;P)'!R104,
            borr2_inc,'Loan Tape (S&amp;P)'!S104,
            total_inc,'Loan Tape (S&amp;P)'!U104,
            thresh_high,VLOOKUP('Control Panel'!$B$6,'Jurisdiction Parameters'!$A:$G,7,FALSE),
            thresh_med,VLOOKUP('Control Panel'!$B$6,'Jurisdiction Parameters'!$A:$H,8,FALSE),
            thresh_joint_high,VLOOKUP('Control Panel'!$B$6,'Jurisdiction Parameters'!$A:$I,9,FALSE),
            thresh_joint_med,VLOOKUP('Control Panel'!$B$6,'Jurisdiction Parameters'!$A:$J,10,FALSE),
            mult_high,VLOOKUP("High",'FF Adj Parameters'!$C$6:$C$8&amp;'FF Adj Parameters'!$B$6:$B$8,2,FALSE),
            mult_med,VLOOKUP("Medium",'FF Adj Parameters'!$C$6:$C$8&amp;'FF Adj Parameters'!$B$6:$B$8,2,FALSE),
            IF(is_btl,1.00,
                IF(seasoning_months&gt;threshold_months,1.00,
                    LET(
                        single_mult,balance/borr1_inc,
                        single_adj,IF(single_mult&gt;thresh_high,1.50,IF(single_mult&gt;thresh_med,1.20,1.00)),
                        joint_mult,balance/total_inc,
                        joint_adj,IF(joint_mult&gt;thresh_joint_high,1.50,IF(joint_mult&gt;thresh_joint_med,1.20,1.00)),
                        borr1_mult,balance/borr1_inc,
                        borr1_adj,IF(borr1_mult&gt;thresh_high,1.50,IF(borr1_mult&gt;thresh_med,1.20,1.00)),
                        borr2_mult,IF(num_borr=2,balance/borr2_inc,999),
                        borr2_adj,IF(num_borr=2,IF(borr2_mult&gt;thresh_high,1.50,IF(borr2_mult&gt;thresh_med,1.20,1.00)),1.00),
                        IF(num_borr=1,single_adj,MIN(joint_adj,borr1_adj,borr2_adj))
                    )
                )
            )
        ),
    1)</f>
        <v/>
      </c>
      <c r="I104" s="21">
        <f>IFERROR(
        IF('Loan Tape (S&amp;P)'!L104="BTL",
            LET(
                rental,'Loan Tape (S&amp;P)'!AV104,
                balance,'Loan Tape (S&amp;P)'!B104,
                int_rate,VLOOKUP('Control Panel'!$B$6,'Jurisdiction Parameters'!$A:$E,5,FALSE),
                int_cost,balance*int_rate,
                dscr,rental/int_cost,
                IF(rental=0,
                    INDEX('FF Adj Parameters'!$B$12:$B$16,1),
                    IF(dscr&gt;=1.35,
                        INDEX('FF Adj Parameters'!$B$12:$B$16,5),
                        IF(dscr&gt;=1.20,
                            INDEX('FF Adj Parameters'!$B$12:$B$16,4),
                            IF(dscr&gt;=1.00,
                                INDEX('FF Adj Parameters'!$B$12:$B$16,3),
                                INDEX('FF Adj Parameters'!$B$12:$B$16,2)
                            )
                        )
                    )
                )
            ),
        1.00),
    1)</f>
        <v/>
      </c>
      <c r="J104" s="21">
        <f>IFERROR(
        IF('Loan Tape (S&amp;P)'!AS104="First",
            INDEX('FF Adj Parameters'!$B$20:$B$22,1),
            IF('Loan Tape (S&amp;P)'!AS104="Second",
                INDEX('FF Adj Parameters'!$B$20:$B$22,2),
                INDEX('FF Adj Parameters'!$B$20:$B$22,3)
            )
        ),
    1)</f>
        <v/>
      </c>
      <c r="K104" s="21">
        <f>IFERROR(
        IF('Loan Tape (S&amp;P)'!AS104&lt;&gt;"First",1.00,
            IF('Loan Tape (S&amp;P)'!M104="Cash-out",
                INDEX('FF Adj Parameters'!$B$26:$B$28,3),
            1.00)
        ),
    1)</f>
        <v/>
      </c>
      <c r="L104" s="21">
        <f>IFERROR(
        LET(
            arr_months,'Loan Tape (S&amp;P)'!AK104,
            arr_3mo,VLOOKUP('Control Panel'!$B$6,'Jurisdiction Parameters'!$A:$M,13,FALSE),
            arr_2mo,VLOOKUP('Control Panel'!$B$6,'Jurisdiction Parameters'!$A:$L,12,FALSE),
            arr_1mo,VLOOKUP('Control Panel'!$B$6,'Jurisdiction Parameters'!$A:$K,11,FALSE),
            IF(arr_months&gt;=3,arr_3mo,
                IF(arr_months&gt;=2,arr_2mo,
                    IF(arr_months&gt;=1,arr_1mo,1.00)
                )
            )
        ),
    1)</f>
        <v/>
      </c>
      <c r="M104" s="21">
        <f>IFERROR(
        IF('Loan Tape (S&amp;P)'!AK104=0,
            LET(
                years,('Control Panel'!$B$10-'Loan Tape (S&amp;P)'!F104)/365.25,
                IF(years&gt;10,INDEX('FF Adj Parameters'!$B$32:$B$38,7),
                    IF(years&gt;9,INDEX('FF Adj Parameters'!$B$32:$B$38,6),
                        IF(years&gt;8,INDEX('FF Adj Parameters'!$B$32:$B$38,5),
                            IF(years&gt;7,INDEX('FF Adj Parameters'!$B$32:$B$38,4),
                                IF(years&gt;6,INDEX('FF Adj Parameters'!$B$32:$B$38,3),
                                    IF(years&gt;5,INDEX('FF Adj Parameters'!$B$32:$B$38,2),1.00)
                                )
                            )
                        )
                    )
                )
            ),
        1.00),
    1)</f>
        <v/>
      </c>
      <c r="N104" s="21">
        <f>IFERROR(
        LET(
            is_btl,'Loan Tape (S&amp;P)'!L104="BTL",
            is_htb,'Loan Tape (S&amp;P)'!Q104="Yes",
            is_ftb,'Loan Tape (S&amp;P)'!AP104="Yes",
            seasoning_months,('Control Panel'!$B$10-'Loan Tape (S&amp;P)'!F104)*12,
            threshold_months,VLOOKUP('Control Panel'!$B$6,'Jurisdiction Parameters'!$A:$F,6,FALSE),
            ftb_mult,INDEX('FF Adj Parameters'!$B$42:$B$47,1),
            IF(OR(is_btl,is_htb),1.00,
                IF(AND(is_ftb,seasoning_months&lt;=threshold_months),ftb_mult,1.00)
            )
        ),
    1)</f>
        <v/>
      </c>
      <c r="O104" s="21">
        <f>IF('Loan Tape (S&amp;P)'!Q104="Yes",
        INDEX('FF Adj Parameters'!$B$42:$B$47,2),
    1.00)</f>
        <v/>
      </c>
      <c r="P104" s="21">
        <f>IF('Loan Tape (S&amp;P)'!P104="Yes",
        INDEX('FF Adj Parameters'!$B$42:$B$47,3),
    1.00)</f>
        <v/>
      </c>
      <c r="Q104" s="21">
        <f>IF('Loan Tape (S&amp;P)'!O104="Yes",
        INDEX('FF Adj Parameters'!$B$42:$B$47,4),
    1.00)</f>
        <v/>
      </c>
      <c r="R104" s="21">
        <f>IFERROR(
        LET(
            is_btl,'Loan Tape (S&amp;P)'!L104="BTL",
            is_self_cert,'Loan Tape (S&amp;P)'!AO104="Yes",
            is_performing,'Loan Tape (S&amp;P)'!AK104=0,
            IF(OR(is_btl,NOT(is_self_cert)),1.00,
                IF(is_performing,
                    LET(
                        months,('Control Panel'!$B$10-'Loan Tape (S&amp;P)'!F104)*12,
                        factor,IF(months&lt;=12,INDEX('FF Adj Parameters'!$B$62:$B$68,1),
                            IF(months&lt;=24,INDEX('FF Adj Parameters'!$B$62:$B$68,2),
                                IF(months&lt;=36,INDEX('FF Adj Parameters'!$B$62:$B$68,3),
                                    IF(months&lt;=48,INDEX('FF Adj Parameters'!$B$62:$B$68,4),
                                        IF(months&lt;=60,INDEX('FF Adj Parameters'!$B$62:$B$68,5),
                                            IF(months&lt;=72,INDEX('FF Adj Parameters'!$B$62:$B$68,6),
                                                INDEX('FF Adj Parameters'!$B$62:$B$68,7)
                                            )
                                        )
                                    )
                                )
                            )
                        ),
                        1+(0.50*factor)
                    ),
                1.50)
            )
        ),
    1)</f>
        <v/>
      </c>
      <c r="S104" s="21">
        <f>IF('Loan Tape (S&amp;P)'!Q104="Yes",1.00,
        IF('Loan Tape (S&amp;P)'!AQ104="Yes",
            INDEX('FF Adj Parameters'!$B$42:$B$47,5),
        1.00))</f>
        <v/>
      </c>
      <c r="T104" s="21">
        <f>IFERROR(
        IF('Loan Tape (S&amp;P)'!N104&lt;&gt;"Interest Only",1.00,
            IF('Loan Tape (S&amp;P)'!L104="BTL",1.00,
                LET(
                    years_to_mat,('Loan Tape (S&amp;P)'!G104-'Control Panel'!$B$10)/365.25,
                    IF(years_to_mat&gt;25,INDEX('FF Adj Parameters'!$B$51:$B$54,1),
                        IF(years_to_mat&gt;=15,INDEX('FF Adj Parameters'!$B$51:$B$54,2),
                            IF(years_to_mat&gt;=5,INDEX('FF Adj Parameters'!$B$51:$B$54,3),
                                INDEX('FF Adj Parameters'!$B$51:$B$54,4)
                            )
                        )
                    )
                )
            )
        ),
    1)</f>
        <v/>
      </c>
      <c r="U104" s="21">
        <f>IF('Loan Tape (S&amp;P)'!L104="BTL",1.00,
        IF('Loan Tape (S&amp;P)'!X104="Yes",
            INDEX('FF Adj Parameters'!$B$58:$B$58,1),
        1.00))</f>
        <v/>
      </c>
      <c r="V104" s="21">
        <f>IF('Loan Tape (S&amp;P)'!AU104="Yes",
        INDEX('FF Adj Parameters'!$B$42:$B$47,6),
    1.00)</f>
        <v/>
      </c>
      <c r="W104" s="23">
        <f>IFERROR(
        LET(
            ccj_count,'Loan Tape (S&amp;P)'!AD104,
            ccj_value,'Loan Tape (S&amp;P)'!AG104,
            ccj_date,'Loan Tape (S&amp;P)'!AH104,
            years_since,('Control Panel'!$B$10-ccj_date)/365.25,
            IF(ccj_count=0,1.00,
                IF(years_since&gt;6,1.075,
                    LET(
                        is_recent,years_since&lt;1,
                        count_col,IF(is_recent,2,3),
                        count_adj,INDEX('FF Parameters'!$B$49:$D$54,MATCH(ccj_count,'FF Parameters'!$A$49:$A$54,1),count_col),
                        value_adj,IF(ccj_value&gt;=10000,MAX(count_adj,4.00),IF(ccj_value&gt;=5000,MAX(count_adj,2.50),count_adj)),
                        value_adj
                    )
                )
            )
        ),
    1)</f>
        <v/>
      </c>
      <c r="X104" s="21">
        <f>1.00</f>
        <v/>
      </c>
      <c r="Y104" s="21">
        <f>IFERROR(
        IF('Loan Tape (S&amp;P)'!AR104="Yes",
            LET(
                months_since,('Control Panel'!$B$10-'Loan Tape (S&amp;P)'!AS104)/30.44,
                IF(months_since&lt;=12,INDEX('FF Adj Parameters'!$B$86:$B$89,1),
                    IF(months_since&lt;=24,INDEX('FF Adj Parameters'!$B$86:$B$89,2),
                        IF(months_since&lt;=36,INDEX('FF Adj Parameters'!$B$86:$B$89,3),
                            INDEX('FF Adj Parameters'!$B$86:$B$89,4)
                        )
                    )
                )
            ),
        1.00),
    1)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 t="n">
        <v>1</v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 t="n">
        <v>1</v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 t="n">
        <v>1</v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 t="n">
        <v>1</v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 t="n">
        <v>1</v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 t="n">
        <v>1</v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 t="n">
        <v>1</v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 t="n">
        <v>1</v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 t="n">
        <v>1</v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 t="n">
        <v>1</v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 t="n">
        <v>1</v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 t="n">
        <v>1</v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 t="n">
        <v>1</v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 t="n">
        <v>1</v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 t="n">
        <v>1</v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 t="n">
        <v>1</v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 t="n">
        <v>1</v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 t="n">
        <v>1</v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 t="n">
        <v>1</v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 t="n">
        <v>1</v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 t="n">
        <v>1</v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 t="n">
        <v>1</v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 t="n">
        <v>1</v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 t="n">
        <v>1</v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 t="n">
        <v>1</v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 t="n">
        <v>1</v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 t="n">
        <v>1</v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 t="n">
        <v>1</v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 t="n">
        <v>1</v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 t="n">
        <v>1</v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 t="n">
        <v>1</v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 t="n">
        <v>1</v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 t="n">
        <v>1</v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 t="n">
        <v>1</v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 t="n">
        <v>1</v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 t="n">
        <v>1</v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 t="n">
        <v>1</v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 t="n">
        <v>1</v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 t="n">
        <v>1</v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 t="n">
        <v>1</v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 t="n">
        <v>1</v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 t="n">
        <v>1</v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 t="n">
        <v>1</v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 t="n">
        <v>1</v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 t="n">
        <v>1</v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 t="n">
        <v>1</v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 t="n">
        <v>1</v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 t="n">
        <v>1</v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 t="n">
        <v>1</v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 t="n">
        <v>1</v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 t="n">
        <v>1</v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 t="n">
        <v>1</v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 t="n">
        <v>1</v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 t="n">
        <v>1</v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 t="n">
        <v>1</v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 t="n">
        <v>1</v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 t="n">
        <v>1</v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 t="n">
        <v>1</v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 t="n">
        <v>1</v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 t="n">
        <v>1</v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 t="n">
        <v>1</v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 t="n">
        <v>1</v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 t="n">
        <v>1</v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 t="n">
        <v>1</v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 t="n">
        <v>1</v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 t="n">
        <v>1</v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 t="n">
        <v>1</v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 t="n">
        <v>1</v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 t="n">
        <v>1</v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 t="n">
        <v>1</v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 t="n">
        <v>1</v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 t="n">
        <v>1</v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 t="n">
        <v>1</v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 t="n">
        <v>1</v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 t="n">
        <v>1</v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 t="n">
        <v>1</v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 t="n">
        <v>1</v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 t="n">
        <v>1</v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 t="n">
        <v>1</v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 t="n">
        <v>1</v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 t="n">
        <v>1</v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 t="n">
        <v>1</v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 t="n">
        <v>1</v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 t="n">
        <v>1</v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 t="n">
        <v>1</v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 t="n">
        <v>1</v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 t="n">
        <v>1</v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 t="n">
        <v>1</v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 t="n">
        <v>1</v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 t="n">
        <v>1</v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 t="n">
        <v>1</v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 t="n">
        <v>1</v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 t="n">
        <v>1</v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 t="n">
        <v>1</v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 t="n">
        <v>1</v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 t="n">
        <v>1</v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 t="n">
        <v>1</v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 t="n">
        <v>1</v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 t="n">
        <v>1</v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 t="n">
        <v>1</v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0:E41"/>
  <sheetViews>
    <sheetView workbookViewId="0">
      <selection activeCell="A1" sqref="A1"/>
    </sheetView>
  </sheetViews>
  <sheetFormatPr baseColWidth="8" defaultRowHeight="15"/>
  <sheetData>
    <row r="30">
      <c r="A30" s="44" t="inlineStr">
        <is>
          <t>LOSS SEVERITY (WALS) ADJUSTMENT ANALYSIS</t>
        </is>
      </c>
    </row>
    <row r="32">
      <c r="A32" s="38" t="inlineStr">
        <is>
          <t>Component</t>
        </is>
      </c>
      <c r="B32" s="38" t="inlineStr">
        <is>
          <t>Min %</t>
        </is>
      </c>
      <c r="C32" s="38" t="inlineStr">
        <is>
          <t>Max %</t>
        </is>
      </c>
      <c r="D32" s="38" t="inlineStr">
        <is>
          <t>Avg %</t>
        </is>
      </c>
      <c r="E32" s="38" t="inlineStr">
        <is>
          <t>Count</t>
        </is>
      </c>
    </row>
    <row r="33">
      <c r="A33" s="39" t="inlineStr">
        <is>
          <t>Base MVD</t>
        </is>
      </c>
      <c r="B33" s="40">
        <f>MIN('LS Calculations'!$E$5:$E$104)</f>
        <v/>
      </c>
      <c r="C33" s="40">
        <f>MAX('LS Calculations'!$E$5:$E$104)</f>
        <v/>
      </c>
      <c r="D33" s="40">
        <f>AVERAGE('LS Calculations'!$E$5:$E$104)</f>
        <v/>
      </c>
      <c r="E33" s="39">
        <f>COUNTA('LS Calculations'!$E$5:$E$104)</f>
        <v/>
      </c>
    </row>
    <row r="34">
      <c r="A34" s="39" t="inlineStr">
        <is>
          <t>Property Type Adj</t>
        </is>
      </c>
      <c r="B34" s="40">
        <f>MIN('LS Calculations'!$G$5:$G$104)</f>
        <v/>
      </c>
      <c r="C34" s="40">
        <f>MAX('LS Calculations'!$G$5:$G$104)</f>
        <v/>
      </c>
      <c r="D34" s="40">
        <f>AVERAGE('LS Calculations'!$G$5:$G$104)</f>
        <v/>
      </c>
      <c r="E34" s="39">
        <f>COUNTA('LS Calculations'!$G$5:$G$104)</f>
        <v/>
      </c>
    </row>
    <row r="35">
      <c r="A35" s="39" t="inlineStr">
        <is>
          <t>Regional Adj</t>
        </is>
      </c>
      <c r="B35" s="40">
        <f>MIN('LS Calculations'!$I$5:$I$104)</f>
        <v/>
      </c>
      <c r="C35" s="40">
        <f>MAX('LS Calculations'!$I$5:$I$104)</f>
        <v/>
      </c>
      <c r="D35" s="40">
        <f>AVERAGE('LS Calculations'!$I$5:$I$104)</f>
        <v/>
      </c>
      <c r="E35" s="39">
        <f>COUNTA('LS Calculations'!$I$5:$I$104)</f>
        <v/>
      </c>
    </row>
    <row r="36">
      <c r="A36" s="39" t="inlineStr">
        <is>
          <t>Adjusted MVD</t>
        </is>
      </c>
      <c r="B36" s="40">
        <f>MIN('LS Calculations'!$J$5:$J$104)</f>
        <v/>
      </c>
      <c r="C36" s="40">
        <f>MAX('LS Calculations'!$J$5:$J$104)</f>
        <v/>
      </c>
      <c r="D36" s="40">
        <f>AVERAGE('LS Calculations'!$J$5:$J$104)</f>
        <v/>
      </c>
      <c r="E36" s="39">
        <f>COUNTA('LS Calculations'!$J$5:$J$104)</f>
        <v/>
      </c>
    </row>
    <row r="37">
      <c r="A37" s="39" t="inlineStr">
        <is>
          <t>FSD</t>
        </is>
      </c>
      <c r="B37" s="40">
        <f>MIN('LS Calculations'!$K$5:$K$104)</f>
        <v/>
      </c>
      <c r="C37" s="40">
        <f>MAX('LS Calculations'!$K$5:$K$104)</f>
        <v/>
      </c>
      <c r="D37" s="40">
        <f>AVERAGE('LS Calculations'!$K$5:$K$104)</f>
        <v/>
      </c>
      <c r="E37" s="39">
        <f>COUNTA('LS Calculations'!$K$5:$K$104)</f>
        <v/>
      </c>
    </row>
    <row r="38">
      <c r="A38" s="39" t="inlineStr">
        <is>
          <t>Total Decline</t>
        </is>
      </c>
      <c r="B38" s="40">
        <f>MIN('LS Calculations'!$L$5:$L$104)</f>
        <v/>
      </c>
      <c r="C38" s="40">
        <f>MAX('LS Calculations'!$L$5:$L$104)</f>
        <v/>
      </c>
      <c r="D38" s="40">
        <f>AVERAGE('LS Calculations'!$L$5:$L$104)</f>
        <v/>
      </c>
      <c r="E38" s="39">
        <f>COUNTA('LS Calculations'!$L$5:$L$104)</f>
        <v/>
      </c>
    </row>
    <row r="39">
      <c r="A39" s="39" t="inlineStr">
        <is>
          <t>Foreclosure Costs</t>
        </is>
      </c>
      <c r="B39" s="40">
        <f>MIN('LS Calculations'!$N$5:$N$104)</f>
        <v/>
      </c>
      <c r="C39" s="40">
        <f>MAX('LS Calculations'!$N$5:$N$104)</f>
        <v/>
      </c>
      <c r="D39" s="40">
        <f>AVERAGE('LS Calculations'!$N$5:$N$104)</f>
        <v/>
      </c>
      <c r="E39" s="39">
        <f>COUNTA('LS Calculations'!$N$5:$N$104)</f>
        <v/>
      </c>
    </row>
    <row r="40">
      <c r="A40" s="39" t="inlineStr">
        <is>
          <t>Gross LS</t>
        </is>
      </c>
      <c r="B40" s="40">
        <f>MIN('LS Calculations'!$O$5:$O$104)</f>
        <v/>
      </c>
      <c r="C40" s="40">
        <f>MAX('LS Calculations'!$O$5:$O$104)</f>
        <v/>
      </c>
      <c r="D40" s="40">
        <f>AVERAGE('LS Calculations'!$O$5:$O$104)</f>
        <v/>
      </c>
      <c r="E40" s="39">
        <f>COUNTA('LS Calculations'!$O$5:$O$104)</f>
        <v/>
      </c>
    </row>
    <row r="41">
      <c r="A41" s="41" t="inlineStr">
        <is>
          <t>Final LS</t>
        </is>
      </c>
      <c r="B41" s="42">
        <f>MIN('LS Calculations'!$Q$5:$Q$104)</f>
        <v/>
      </c>
      <c r="C41" s="42">
        <f>MAX('LS Calculations'!$Q$5:$Q$104)</f>
        <v/>
      </c>
      <c r="D41" s="42">
        <f>AVERAGE('LS Calculations'!$Q$5:$Q$104)</f>
        <v/>
      </c>
      <c r="E41" s="41">
        <f>COUNTA('LS Calculations'!$Q$5:$Q$104)</f>
        <v/>
      </c>
    </row>
  </sheetData>
  <mergeCells count="1">
    <mergeCell ref="A30:E3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  <row r="135"/>
    <row r="136"/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  <row r="135"/>
    <row r="136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2026-01-14T23:51:46Z</dcterms:modified>
</cp:coreProperties>
</file>